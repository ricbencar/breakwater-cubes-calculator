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 codeName="EsteLivro" defaultThemeVersion="124226"/>
  <xr:revisionPtr revIDLastSave="0" documentId="13_ncr:1_{18348651-2D31-4733-9D17-7832F293B235}" xr6:coauthVersionLast="47" xr6:coauthVersionMax="47" xr10:uidLastSave="{00000000-0000-0000-0000-000000000000}"/>
  <bookViews>
    <workbookView xWindow="-108" yWindow="-108" windowWidth="23256" windowHeight="12576" tabRatio="821" xr2:uid="{00000000-000D-0000-FFFF-FFFF00000000}"/>
  </bookViews>
  <sheets>
    <sheet name="formula" sheetId="17" r:id="rId1"/>
    <sheet name="parameters" sheetId="18" r:id="rId2"/>
  </sheets>
  <definedNames>
    <definedName name="_k1">formula!$C$12</definedName>
    <definedName name="_k2">formula!$C$13</definedName>
    <definedName name="_k3">formula!$C$14</definedName>
    <definedName name="_k4">formula!$C$15</definedName>
    <definedName name="_k5">formula!$C$16</definedName>
    <definedName name="formulas">parameters!$A$2:$A$4</definedName>
    <definedName name="solver_adj" localSheetId="0" hidden="1">formula!#REF!,formula!#REF!</definedName>
    <definedName name="solver_cvg" localSheetId="0" hidden="1">0.0001</definedName>
    <definedName name="solver_drv" localSheetId="0" hidden="1">1</definedName>
    <definedName name="solver_est" localSheetId="0" hidden="1">1</definedName>
    <definedName name="solver_itr" localSheetId="0" hidden="1">100</definedName>
    <definedName name="solver_lin" localSheetId="0" hidden="1">2</definedName>
    <definedName name="solver_neg" localSheetId="0" hidden="1">2</definedName>
    <definedName name="solver_num" localSheetId="0" hidden="1">0</definedName>
    <definedName name="solver_nwt" localSheetId="0" hidden="1">1</definedName>
    <definedName name="solver_opt" localSheetId="0" hidden="1">formula!#REF!</definedName>
    <definedName name="solver_pre" localSheetId="0" hidden="1">0.000001</definedName>
    <definedName name="solver_scl" localSheetId="0" hidden="1">2</definedName>
    <definedName name="solver_sho" localSheetId="0" hidden="1">2</definedName>
    <definedName name="solver_tim" localSheetId="0" hidden="1">100</definedName>
    <definedName name="solver_tol" localSheetId="0" hidden="1">0.05</definedName>
    <definedName name="solver_typ" localSheetId="0" hidden="1">2</definedName>
    <definedName name="solver_val" localSheetId="0" hidden="1">0</definedName>
    <definedName name="table">parameters!$B$2:$F$4</definedName>
  </definedNames>
  <calcPr calcId="181029"/>
</workbook>
</file>

<file path=xl/calcChain.xml><?xml version="1.0" encoding="utf-8"?>
<calcChain xmlns="http://schemas.openxmlformats.org/spreadsheetml/2006/main">
  <c r="F24" i="17" l="1"/>
  <c r="F22" i="17"/>
  <c r="L24" i="17"/>
  <c r="C20" i="17"/>
  <c r="C25" i="17"/>
  <c r="E15" i="17"/>
  <c r="E14" i="17"/>
  <c r="E13" i="17"/>
  <c r="C16" i="17"/>
  <c r="C15" i="17"/>
  <c r="C14" i="17"/>
  <c r="C13" i="17"/>
  <c r="C12" i="17"/>
  <c r="C34" i="17" l="1"/>
  <c r="C35" i="17" s="1"/>
  <c r="L10" i="17"/>
  <c r="L7" i="17" l="1"/>
  <c r="M8" i="17"/>
  <c r="C29" i="17"/>
  <c r="F18" i="17" s="1"/>
  <c r="L8" i="17" l="1"/>
  <c r="C21" i="17"/>
  <c r="L9" i="17" l="1"/>
  <c r="C22" i="17"/>
  <c r="L17" i="17" s="1"/>
  <c r="F19" i="17"/>
  <c r="L23" i="17" l="1"/>
  <c r="L18" i="17"/>
  <c r="F20" i="17"/>
  <c r="L6" i="17"/>
  <c r="F21" i="17" l="1"/>
  <c r="L15" i="17"/>
  <c r="L16" i="17" s="1"/>
</calcChain>
</file>

<file path=xl/sharedStrings.xml><?xml version="1.0" encoding="utf-8"?>
<sst xmlns="http://schemas.openxmlformats.org/spreadsheetml/2006/main" count="49" uniqueCount="43">
  <si>
    <r>
      <t>H</t>
    </r>
    <r>
      <rPr>
        <b/>
        <vertAlign val="subscript"/>
        <sz val="10"/>
        <rFont val="Arial"/>
        <family val="2"/>
      </rPr>
      <t>s</t>
    </r>
    <r>
      <rPr>
        <b/>
        <sz val="10"/>
        <rFont val="Arial"/>
        <family val="2"/>
      </rPr>
      <t xml:space="preserve"> [m]</t>
    </r>
  </si>
  <si>
    <r>
      <t>L</t>
    </r>
    <r>
      <rPr>
        <b/>
        <vertAlign val="subscript"/>
        <sz val="10"/>
        <rFont val="Arial"/>
        <family val="2"/>
      </rPr>
      <t>0</t>
    </r>
    <r>
      <rPr>
        <b/>
        <sz val="10"/>
        <rFont val="Arial"/>
        <family val="2"/>
      </rPr>
      <t xml:space="preserve"> [m]</t>
    </r>
  </si>
  <si>
    <r>
      <t>k</t>
    </r>
    <r>
      <rPr>
        <b/>
        <vertAlign val="subscript"/>
        <sz val="10"/>
        <rFont val="Arial"/>
        <family val="2"/>
      </rPr>
      <t>0</t>
    </r>
  </si>
  <si>
    <r>
      <t>s</t>
    </r>
    <r>
      <rPr>
        <b/>
        <vertAlign val="subscript"/>
        <sz val="10"/>
        <rFont val="Arial"/>
        <family val="2"/>
      </rPr>
      <t>0m</t>
    </r>
    <r>
      <rPr>
        <b/>
        <sz val="10"/>
        <rFont val="Arial"/>
        <family val="2"/>
      </rPr>
      <t>=H</t>
    </r>
    <r>
      <rPr>
        <b/>
        <vertAlign val="subscript"/>
        <sz val="10"/>
        <rFont val="Arial"/>
        <family val="2"/>
      </rPr>
      <t>s0</t>
    </r>
    <r>
      <rPr>
        <b/>
        <sz val="10"/>
        <rFont val="Arial"/>
        <family val="2"/>
      </rPr>
      <t>/L</t>
    </r>
    <r>
      <rPr>
        <b/>
        <vertAlign val="subscript"/>
        <sz val="10"/>
        <rFont val="Arial"/>
        <family val="2"/>
      </rPr>
      <t>0</t>
    </r>
  </si>
  <si>
    <r>
      <t>D</t>
    </r>
    <r>
      <rPr>
        <b/>
        <vertAlign val="subscript"/>
        <sz val="10"/>
        <rFont val="Arial"/>
        <family val="2"/>
      </rPr>
      <t>50</t>
    </r>
  </si>
  <si>
    <r>
      <t>W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 xml:space="preserve"> [kN/m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]</t>
    </r>
  </si>
  <si>
    <r>
      <t>K</t>
    </r>
    <r>
      <rPr>
        <b/>
        <vertAlign val="subscript"/>
        <sz val="10"/>
        <rFont val="Arial"/>
        <family val="2"/>
      </rPr>
      <t>d,Hudson</t>
    </r>
  </si>
  <si>
    <r>
      <t>T</t>
    </r>
    <r>
      <rPr>
        <b/>
        <vertAlign val="subscript"/>
        <sz val="10"/>
        <rFont val="Arial"/>
        <family val="2"/>
      </rPr>
      <t xml:space="preserve">m </t>
    </r>
    <r>
      <rPr>
        <b/>
        <sz val="10"/>
        <rFont val="Arial"/>
        <family val="2"/>
      </rPr>
      <t>[s]</t>
    </r>
  </si>
  <si>
    <t>f</t>
  </si>
  <si>
    <t>Dn</t>
  </si>
  <si>
    <r>
      <t>s</t>
    </r>
    <r>
      <rPr>
        <b/>
        <vertAlign val="subscript"/>
        <sz val="10"/>
        <rFont val="Arial"/>
        <family val="2"/>
      </rPr>
      <t>m</t>
    </r>
    <r>
      <rPr>
        <b/>
        <sz val="10"/>
        <rFont val="Arial"/>
        <family val="2"/>
      </rPr>
      <t>=H</t>
    </r>
    <r>
      <rPr>
        <b/>
        <vertAlign val="subscript"/>
        <sz val="10"/>
        <rFont val="Arial"/>
        <family val="2"/>
      </rPr>
      <t>s</t>
    </r>
    <r>
      <rPr>
        <b/>
        <sz val="10"/>
        <rFont val="Arial"/>
        <family val="2"/>
      </rPr>
      <t>/L0</t>
    </r>
  </si>
  <si>
    <t>Hs /  delta / Dn</t>
  </si>
  <si>
    <t>W</t>
  </si>
  <si>
    <t>Ns = Hs/delta/Dn</t>
  </si>
  <si>
    <t>Chegini-Aghtouman (2006) formula for Antifer Cubes, slope 1.5:1</t>
  </si>
  <si>
    <t>Chegini-Aghtouman (2006) formula for Antifer Cubes, slope 2:1</t>
  </si>
  <si>
    <t>k1</t>
  </si>
  <si>
    <t>k2</t>
  </si>
  <si>
    <t>k3</t>
  </si>
  <si>
    <t>k4</t>
  </si>
  <si>
    <t>k5</t>
  </si>
  <si>
    <t>Formula</t>
  </si>
  <si>
    <t>Formula:</t>
  </si>
  <si>
    <t>1=</t>
  </si>
  <si>
    <t>2=</t>
  </si>
  <si>
    <t>3=</t>
  </si>
  <si>
    <r>
      <t>W=W</t>
    </r>
    <r>
      <rPr>
        <b/>
        <vertAlign val="subscript"/>
        <sz val="10"/>
        <rFont val="Arial"/>
        <family val="2"/>
      </rPr>
      <t>c.</t>
    </r>
    <r>
      <rPr>
        <b/>
        <sz val="10"/>
        <rFont val="Arial"/>
        <family val="2"/>
      </rPr>
      <t>D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 xml:space="preserve"> [kN]</t>
    </r>
  </si>
  <si>
    <r>
      <t>W</t>
    </r>
    <r>
      <rPr>
        <b/>
        <vertAlign val="subscript"/>
        <sz val="10"/>
        <rFont val="Arial"/>
        <family val="2"/>
      </rPr>
      <t>c</t>
    </r>
    <r>
      <rPr>
        <b/>
        <sz val="10"/>
        <rFont val="Arial"/>
        <family val="2"/>
      </rPr>
      <t xml:space="preserve"> [kN/m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]</t>
    </r>
  </si>
  <si>
    <t>(1/f-k4)/k1</t>
  </si>
  <si>
    <t>1/f=(k1*Nod^k2/Nz^k3+k4)</t>
  </si>
  <si>
    <t>Nod^k2/Nz^k3</t>
  </si>
  <si>
    <t>1/f *sm^-k5</t>
  </si>
  <si>
    <r>
      <t>Double layer, r</t>
    </r>
    <r>
      <rPr>
        <b/>
        <vertAlign val="subscript"/>
        <sz val="10"/>
        <rFont val="Arial"/>
        <family val="2"/>
      </rPr>
      <t>1</t>
    </r>
    <r>
      <rPr>
        <b/>
        <sz val="10"/>
        <rFont val="Arial"/>
        <family val="2"/>
      </rPr>
      <t xml:space="preserve"> [m]</t>
    </r>
  </si>
  <si>
    <t>Porosity, P [%]</t>
  </si>
  <si>
    <t>FORMULAS FOR CUBES &amp; ANTIFER CUBES</t>
  </si>
  <si>
    <r>
      <t>f</t>
    </r>
    <r>
      <rPr>
        <b/>
        <vertAlign val="subscript"/>
        <sz val="10"/>
        <rFont val="Arial"/>
        <family val="2"/>
      </rPr>
      <t>1</t>
    </r>
    <r>
      <rPr>
        <b/>
        <sz val="10"/>
        <rFont val="Arial"/>
        <family val="2"/>
      </rPr>
      <t xml:space="preserve"> [cubes/100m</t>
    </r>
    <r>
      <rPr>
        <b/>
        <vertAlign val="superscript"/>
        <sz val="10"/>
        <rFont val="Arial"/>
        <family val="2"/>
      </rPr>
      <t>2</t>
    </r>
    <r>
      <rPr>
        <b/>
        <sz val="10"/>
        <rFont val="Arial"/>
        <family val="2"/>
      </rPr>
      <t>]</t>
    </r>
  </si>
  <si>
    <r>
      <t>D=(W</t>
    </r>
    <r>
      <rPr>
        <b/>
        <vertAlign val="subscript"/>
        <sz val="10"/>
        <rFont val="Arial"/>
        <family val="2"/>
      </rPr>
      <t>c</t>
    </r>
    <r>
      <rPr>
        <b/>
        <sz val="10"/>
        <rFont val="Arial"/>
        <family val="2"/>
      </rPr>
      <t>/W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)-1</t>
    </r>
  </si>
  <si>
    <r>
      <t>Wc/(W</t>
    </r>
    <r>
      <rPr>
        <b/>
        <vertAlign val="subscript"/>
        <sz val="10"/>
        <rFont val="Arial"/>
        <family val="2"/>
      </rPr>
      <t>c</t>
    </r>
    <r>
      <rPr>
        <b/>
        <sz val="10"/>
        <rFont val="Arial"/>
        <family val="2"/>
      </rPr>
      <t>/W</t>
    </r>
    <r>
      <rPr>
        <b/>
        <vertAlign val="subscript"/>
        <sz val="10"/>
        <rFont val="Arial"/>
        <family val="2"/>
      </rPr>
      <t>w</t>
    </r>
    <r>
      <rPr>
        <b/>
        <sz val="10"/>
        <rFont val="Arial"/>
        <family val="2"/>
      </rPr>
      <t>-1)</t>
    </r>
    <r>
      <rPr>
        <b/>
        <vertAlign val="superscript"/>
        <sz val="10"/>
        <rFont val="Arial"/>
        <family val="2"/>
      </rPr>
      <t>3</t>
    </r>
  </si>
  <si>
    <t>Duration [h]</t>
  </si>
  <si>
    <r>
      <t>N</t>
    </r>
    <r>
      <rPr>
        <b/>
        <vertAlign val="subscript"/>
        <sz val="10"/>
        <rFont val="Arial"/>
        <family val="2"/>
      </rPr>
      <t>z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[waves]</t>
    </r>
  </si>
  <si>
    <r>
      <t>N</t>
    </r>
    <r>
      <rPr>
        <b/>
        <vertAlign val="subscript"/>
        <sz val="10"/>
        <rFont val="Arial"/>
        <family val="2"/>
      </rPr>
      <t>od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(damage)</t>
    </r>
  </si>
  <si>
    <r>
      <t>H</t>
    </r>
    <r>
      <rPr>
        <b/>
        <vertAlign val="subscript"/>
        <sz val="10"/>
        <rFont val="Arial"/>
        <family val="2"/>
      </rPr>
      <t>s</t>
    </r>
    <r>
      <rPr>
        <b/>
        <sz val="10"/>
        <rFont val="Arial"/>
        <family val="2"/>
      </rPr>
      <t>/(</t>
    </r>
    <r>
      <rPr>
        <b/>
        <sz val="10"/>
        <rFont val="Symbol"/>
        <family val="1"/>
        <charset val="2"/>
      </rPr>
      <t>D</t>
    </r>
    <r>
      <rPr>
        <b/>
        <sz val="10"/>
        <rFont val="Arial"/>
        <family val="2"/>
      </rPr>
      <t>D</t>
    </r>
    <r>
      <rPr>
        <b/>
        <vertAlign val="subscript"/>
        <sz val="10"/>
        <rFont val="Arial"/>
        <family val="2"/>
      </rPr>
      <t>50</t>
    </r>
    <r>
      <rPr>
        <b/>
        <sz val="10"/>
        <rFont val="Arial"/>
        <family val="2"/>
      </rPr>
      <t>)</t>
    </r>
  </si>
  <si>
    <t>Van Der Meer (1988a) formula for Cubes (not Antifer), slope 1.5:1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</si>
</sst>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00"/>
    <numFmt numFmtId="166" formatCode="0.000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vertAlign val="subscript"/>
      <sz val="10"/>
      <name val="Arial"/>
      <family val="2"/>
    </font>
    <font>
      <b/>
      <vertAlign val="superscript"/>
      <sz val="10"/>
      <name val="Arial"/>
      <family val="2"/>
    </font>
    <font>
      <b/>
      <sz val="7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Symbol"/>
      <family val="1"/>
      <charset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5" fillId="0" borderId="0"/>
    <xf numFmtId="0" fontId="3" fillId="0" borderId="0"/>
    <xf numFmtId="0" fontId="2" fillId="0" borderId="0"/>
    <xf numFmtId="0" fontId="1" fillId="0" borderId="0"/>
  </cellStyleXfs>
  <cellXfs count="36">
    <xf numFmtId="0" fontId="0" fillId="0" borderId="0" xfId="0"/>
    <xf numFmtId="0" fontId="4" fillId="0" borderId="0" xfId="1" applyFont="1" applyAlignment="1">
      <alignment horizontal="right"/>
    </xf>
    <xf numFmtId="0" fontId="4" fillId="0" borderId="0" xfId="1" applyFont="1" applyAlignment="1">
      <alignment horizontal="right" wrapText="1" shrinkToFit="1"/>
    </xf>
    <xf numFmtId="0" fontId="5" fillId="0" borderId="0" xfId="1" applyAlignment="1">
      <alignment horizontal="right"/>
    </xf>
    <xf numFmtId="0" fontId="9" fillId="0" borderId="0" xfId="1" applyFont="1" applyAlignment="1">
      <alignment wrapText="1" shrinkToFit="1"/>
    </xf>
    <xf numFmtId="0" fontId="6" fillId="0" borderId="0" xfId="1" applyFont="1" applyAlignment="1">
      <alignment horizontal="left" vertical="center" wrapText="1" shrinkToFit="1"/>
    </xf>
    <xf numFmtId="0" fontId="11" fillId="0" borderId="0" xfId="0" applyFont="1"/>
    <xf numFmtId="0" fontId="11" fillId="0" borderId="1" xfId="0" applyFont="1" applyBorder="1" applyAlignment="1">
      <alignment vertical="center" wrapText="1"/>
    </xf>
    <xf numFmtId="164" fontId="11" fillId="0" borderId="1" xfId="0" applyNumberFormat="1" applyFont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/>
    </xf>
    <xf numFmtId="0" fontId="6" fillId="0" borderId="0" xfId="1" applyFont="1" applyAlignment="1">
      <alignment horizontal="right" vertical="center" wrapText="1" shrinkToFit="1"/>
    </xf>
    <xf numFmtId="0" fontId="4" fillId="0" borderId="1" xfId="1" applyFont="1" applyBorder="1" applyAlignment="1">
      <alignment horizontal="right" wrapText="1" shrinkToFit="1"/>
    </xf>
    <xf numFmtId="0" fontId="4" fillId="0" borderId="1" xfId="1" applyFont="1" applyBorder="1" applyAlignment="1">
      <alignment horizontal="right"/>
    </xf>
    <xf numFmtId="0" fontId="5" fillId="0" borderId="0" xfId="1"/>
    <xf numFmtId="0" fontId="5" fillId="0" borderId="0" xfId="0" applyFont="1" applyAlignment="1">
      <alignment horizontal="left" wrapText="1" shrinkToFit="1"/>
    </xf>
    <xf numFmtId="0" fontId="5" fillId="0" borderId="0" xfId="0" applyFont="1"/>
    <xf numFmtId="0" fontId="5" fillId="0" borderId="0" xfId="1" applyAlignment="1">
      <alignment horizontal="left" wrapText="1" shrinkToFit="1"/>
    </xf>
    <xf numFmtId="164" fontId="5" fillId="0" borderId="0" xfId="1" applyNumberFormat="1" applyAlignment="1">
      <alignment horizontal="left"/>
    </xf>
    <xf numFmtId="0" fontId="5" fillId="3" borderId="0" xfId="1" applyFill="1" applyAlignment="1">
      <alignment horizontal="left" wrapText="1" shrinkToFit="1"/>
    </xf>
    <xf numFmtId="0" fontId="5" fillId="0" borderId="0" xfId="1" quotePrefix="1" applyAlignment="1">
      <alignment horizontal="right"/>
    </xf>
    <xf numFmtId="0" fontId="5" fillId="0" borderId="0" xfId="1" quotePrefix="1" applyAlignment="1">
      <alignment horizontal="left"/>
    </xf>
    <xf numFmtId="0" fontId="5" fillId="0" borderId="0" xfId="0" applyFont="1" applyAlignment="1">
      <alignment horizontal="left"/>
    </xf>
    <xf numFmtId="0" fontId="5" fillId="3" borderId="0" xfId="1" applyFill="1" applyAlignment="1">
      <alignment horizontal="left"/>
    </xf>
    <xf numFmtId="166" fontId="5" fillId="0" borderId="1" xfId="1" applyNumberFormat="1" applyBorder="1" applyAlignment="1">
      <alignment horizontal="left"/>
    </xf>
    <xf numFmtId="2" fontId="5" fillId="0" borderId="0" xfId="1" applyNumberFormat="1" applyAlignment="1">
      <alignment horizontal="left"/>
    </xf>
    <xf numFmtId="165" fontId="5" fillId="0" borderId="0" xfId="1" applyNumberFormat="1" applyAlignment="1">
      <alignment horizontal="left"/>
    </xf>
    <xf numFmtId="0" fontId="5" fillId="0" borderId="1" xfId="1" applyBorder="1" applyAlignment="1">
      <alignment horizontal="left"/>
    </xf>
    <xf numFmtId="0" fontId="5" fillId="0" borderId="0" xfId="1" applyAlignment="1">
      <alignment horizontal="left"/>
    </xf>
    <xf numFmtId="0" fontId="5" fillId="0" borderId="0" xfId="1" applyAlignment="1">
      <alignment wrapText="1" shrinkToFit="1"/>
    </xf>
    <xf numFmtId="1" fontId="5" fillId="3" borderId="0" xfId="1" applyNumberFormat="1" applyFill="1" applyAlignment="1">
      <alignment horizontal="left"/>
    </xf>
    <xf numFmtId="2" fontId="5" fillId="0" borderId="1" xfId="1" applyNumberFormat="1" applyBorder="1" applyAlignment="1">
      <alignment horizontal="left"/>
    </xf>
    <xf numFmtId="164" fontId="5" fillId="0" borderId="1" xfId="1" applyNumberFormat="1" applyBorder="1" applyAlignment="1">
      <alignment horizontal="left"/>
    </xf>
    <xf numFmtId="0" fontId="6" fillId="0" borderId="0" xfId="1" applyFont="1" applyAlignment="1">
      <alignment horizontal="left" vertical="top" wrapText="1" shrinkToFit="1"/>
    </xf>
    <xf numFmtId="0" fontId="5" fillId="0" borderId="0" xfId="0" applyFont="1" applyAlignment="1">
      <alignment horizontal="left" vertical="top" wrapText="1" shrinkToFit="1"/>
    </xf>
    <xf numFmtId="0" fontId="5" fillId="0" borderId="0" xfId="0" applyFont="1" applyAlignment="1">
      <alignment vertical="top"/>
    </xf>
  </cellXfs>
  <cellStyles count="5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</cellStyles>
  <dxfs count="0"/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171450</xdr:rowOff>
    </xdr:from>
    <xdr:to>
      <xdr:col>6</xdr:col>
      <xdr:colOff>771524</xdr:colOff>
      <xdr:row>10</xdr:row>
      <xdr:rowOff>14558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33375"/>
          <a:ext cx="5438774" cy="1557608"/>
        </a:xfrm>
        <a:prstGeom prst="rect">
          <a:avLst/>
        </a:prstGeom>
      </xdr:spPr>
    </xdr:pic>
    <xdr:clientData/>
  </xdr:twoCellAnchor>
  <xdr:twoCellAnchor editAs="oneCell">
    <xdr:from>
      <xdr:col>7</xdr:col>
      <xdr:colOff>160019</xdr:colOff>
      <xdr:row>1</xdr:row>
      <xdr:rowOff>118111</xdr:rowOff>
    </xdr:from>
    <xdr:to>
      <xdr:col>15</xdr:col>
      <xdr:colOff>594360</xdr:colOff>
      <xdr:row>5</xdr:row>
      <xdr:rowOff>6897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47459" y="285751"/>
          <a:ext cx="5433061" cy="589826"/>
        </a:xfrm>
        <a:prstGeom prst="rect">
          <a:avLst/>
        </a:prstGeom>
      </xdr:spPr>
    </xdr:pic>
    <xdr:clientData/>
  </xdr:twoCellAnchor>
  <xdr:twoCellAnchor editAs="oneCell">
    <xdr:from>
      <xdr:col>7</xdr:col>
      <xdr:colOff>238125</xdr:colOff>
      <xdr:row>10</xdr:row>
      <xdr:rowOff>147732</xdr:rowOff>
    </xdr:from>
    <xdr:to>
      <xdr:col>15</xdr:col>
      <xdr:colOff>495301</xdr:colOff>
      <xdr:row>13</xdr:row>
      <xdr:rowOff>7871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15075" y="2024157"/>
          <a:ext cx="5133976" cy="403064"/>
        </a:xfrm>
        <a:prstGeom prst="rect">
          <a:avLst/>
        </a:prstGeom>
      </xdr:spPr>
    </xdr:pic>
    <xdr:clientData/>
  </xdr:twoCellAnchor>
  <xdr:twoCellAnchor editAs="oneCell">
    <xdr:from>
      <xdr:col>7</xdr:col>
      <xdr:colOff>209550</xdr:colOff>
      <xdr:row>18</xdr:row>
      <xdr:rowOff>51707</xdr:rowOff>
    </xdr:from>
    <xdr:to>
      <xdr:col>14</xdr:col>
      <xdr:colOff>161925</xdr:colOff>
      <xdr:row>21</xdr:row>
      <xdr:rowOff>111578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86500" y="3309257"/>
          <a:ext cx="4219575" cy="602796"/>
        </a:xfrm>
        <a:prstGeom prst="rect">
          <a:avLst/>
        </a:prstGeom>
      </xdr:spPr>
    </xdr:pic>
    <xdr:clientData/>
  </xdr:twoCellAnchor>
  <xdr:twoCellAnchor editAs="oneCell">
    <xdr:from>
      <xdr:col>7</xdr:col>
      <xdr:colOff>139148</xdr:colOff>
      <xdr:row>25</xdr:row>
      <xdr:rowOff>150020</xdr:rowOff>
    </xdr:from>
    <xdr:to>
      <xdr:col>15</xdr:col>
      <xdr:colOff>295381</xdr:colOff>
      <xdr:row>33</xdr:row>
      <xdr:rowOff>72887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3F4DBC1-7AB1-3954-B479-764AB2984C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21287" y="4443724"/>
          <a:ext cx="5139051" cy="15197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lha1"/>
  <dimension ref="A1:M35"/>
  <sheetViews>
    <sheetView showGridLines="0" tabSelected="1" zoomScale="115" zoomScaleNormal="115" workbookViewId="0">
      <selection sqref="A1:G1"/>
    </sheetView>
  </sheetViews>
  <sheetFormatPr defaultColWidth="9.109375" defaultRowHeight="13.2" x14ac:dyDescent="0.25"/>
  <cols>
    <col min="1" max="1" width="17.109375" style="14" customWidth="1"/>
    <col min="2" max="2" width="1.6640625" style="14" customWidth="1"/>
    <col min="3" max="3" width="11.6640625" style="14" customWidth="1"/>
    <col min="4" max="4" width="4.6640625" style="14" customWidth="1"/>
    <col min="5" max="5" width="22.5546875" style="14" customWidth="1"/>
    <col min="6" max="6" width="12.109375" style="14" customWidth="1"/>
    <col min="7" max="7" width="20.44140625" style="14" customWidth="1"/>
    <col min="8" max="245" width="9.109375" style="14"/>
    <col min="246" max="246" width="9.33203125" style="14" customWidth="1"/>
    <col min="247" max="247" width="17.109375" style="14" customWidth="1"/>
    <col min="248" max="248" width="1.6640625" style="14" customWidth="1"/>
    <col min="249" max="249" width="7.44140625" style="14" customWidth="1"/>
    <col min="250" max="250" width="4.6640625" style="14" customWidth="1"/>
    <col min="251" max="251" width="16.44140625" style="14" customWidth="1"/>
    <col min="252" max="252" width="9.5546875" style="14" customWidth="1"/>
    <col min="253" max="501" width="9.109375" style="14"/>
    <col min="502" max="502" width="9.33203125" style="14" customWidth="1"/>
    <col min="503" max="503" width="17.109375" style="14" customWidth="1"/>
    <col min="504" max="504" width="1.6640625" style="14" customWidth="1"/>
    <col min="505" max="505" width="7.44140625" style="14" customWidth="1"/>
    <col min="506" max="506" width="4.6640625" style="14" customWidth="1"/>
    <col min="507" max="507" width="16.44140625" style="14" customWidth="1"/>
    <col min="508" max="508" width="9.5546875" style="14" customWidth="1"/>
    <col min="509" max="757" width="9.109375" style="14"/>
    <col min="758" max="758" width="9.33203125" style="14" customWidth="1"/>
    <col min="759" max="759" width="17.109375" style="14" customWidth="1"/>
    <col min="760" max="760" width="1.6640625" style="14" customWidth="1"/>
    <col min="761" max="761" width="7.44140625" style="14" customWidth="1"/>
    <col min="762" max="762" width="4.6640625" style="14" customWidth="1"/>
    <col min="763" max="763" width="16.44140625" style="14" customWidth="1"/>
    <col min="764" max="764" width="9.5546875" style="14" customWidth="1"/>
    <col min="765" max="1013" width="9.109375" style="14"/>
    <col min="1014" max="1014" width="9.33203125" style="14" customWidth="1"/>
    <col min="1015" max="1015" width="17.109375" style="14" customWidth="1"/>
    <col min="1016" max="1016" width="1.6640625" style="14" customWidth="1"/>
    <col min="1017" max="1017" width="7.44140625" style="14" customWidth="1"/>
    <col min="1018" max="1018" width="4.6640625" style="14" customWidth="1"/>
    <col min="1019" max="1019" width="16.44140625" style="14" customWidth="1"/>
    <col min="1020" max="1020" width="9.5546875" style="14" customWidth="1"/>
    <col min="1021" max="1269" width="9.109375" style="14"/>
    <col min="1270" max="1270" width="9.33203125" style="14" customWidth="1"/>
    <col min="1271" max="1271" width="17.109375" style="14" customWidth="1"/>
    <col min="1272" max="1272" width="1.6640625" style="14" customWidth="1"/>
    <col min="1273" max="1273" width="7.44140625" style="14" customWidth="1"/>
    <col min="1274" max="1274" width="4.6640625" style="14" customWidth="1"/>
    <col min="1275" max="1275" width="16.44140625" style="14" customWidth="1"/>
    <col min="1276" max="1276" width="9.5546875" style="14" customWidth="1"/>
    <col min="1277" max="1525" width="9.109375" style="14"/>
    <col min="1526" max="1526" width="9.33203125" style="14" customWidth="1"/>
    <col min="1527" max="1527" width="17.109375" style="14" customWidth="1"/>
    <col min="1528" max="1528" width="1.6640625" style="14" customWidth="1"/>
    <col min="1529" max="1529" width="7.44140625" style="14" customWidth="1"/>
    <col min="1530" max="1530" width="4.6640625" style="14" customWidth="1"/>
    <col min="1531" max="1531" width="16.44140625" style="14" customWidth="1"/>
    <col min="1532" max="1532" width="9.5546875" style="14" customWidth="1"/>
    <col min="1533" max="1781" width="9.109375" style="14"/>
    <col min="1782" max="1782" width="9.33203125" style="14" customWidth="1"/>
    <col min="1783" max="1783" width="17.109375" style="14" customWidth="1"/>
    <col min="1784" max="1784" width="1.6640625" style="14" customWidth="1"/>
    <col min="1785" max="1785" width="7.44140625" style="14" customWidth="1"/>
    <col min="1786" max="1786" width="4.6640625" style="14" customWidth="1"/>
    <col min="1787" max="1787" width="16.44140625" style="14" customWidth="1"/>
    <col min="1788" max="1788" width="9.5546875" style="14" customWidth="1"/>
    <col min="1789" max="2037" width="9.109375" style="14"/>
    <col min="2038" max="2038" width="9.33203125" style="14" customWidth="1"/>
    <col min="2039" max="2039" width="17.109375" style="14" customWidth="1"/>
    <col min="2040" max="2040" width="1.6640625" style="14" customWidth="1"/>
    <col min="2041" max="2041" width="7.44140625" style="14" customWidth="1"/>
    <col min="2042" max="2042" width="4.6640625" style="14" customWidth="1"/>
    <col min="2043" max="2043" width="16.44140625" style="14" customWidth="1"/>
    <col min="2044" max="2044" width="9.5546875" style="14" customWidth="1"/>
    <col min="2045" max="2293" width="9.109375" style="14"/>
    <col min="2294" max="2294" width="9.33203125" style="14" customWidth="1"/>
    <col min="2295" max="2295" width="17.109375" style="14" customWidth="1"/>
    <col min="2296" max="2296" width="1.6640625" style="14" customWidth="1"/>
    <col min="2297" max="2297" width="7.44140625" style="14" customWidth="1"/>
    <col min="2298" max="2298" width="4.6640625" style="14" customWidth="1"/>
    <col min="2299" max="2299" width="16.44140625" style="14" customWidth="1"/>
    <col min="2300" max="2300" width="9.5546875" style="14" customWidth="1"/>
    <col min="2301" max="2549" width="9.109375" style="14"/>
    <col min="2550" max="2550" width="9.33203125" style="14" customWidth="1"/>
    <col min="2551" max="2551" width="17.109375" style="14" customWidth="1"/>
    <col min="2552" max="2552" width="1.6640625" style="14" customWidth="1"/>
    <col min="2553" max="2553" width="7.44140625" style="14" customWidth="1"/>
    <col min="2554" max="2554" width="4.6640625" style="14" customWidth="1"/>
    <col min="2555" max="2555" width="16.44140625" style="14" customWidth="1"/>
    <col min="2556" max="2556" width="9.5546875" style="14" customWidth="1"/>
    <col min="2557" max="2805" width="9.109375" style="14"/>
    <col min="2806" max="2806" width="9.33203125" style="14" customWidth="1"/>
    <col min="2807" max="2807" width="17.109375" style="14" customWidth="1"/>
    <col min="2808" max="2808" width="1.6640625" style="14" customWidth="1"/>
    <col min="2809" max="2809" width="7.44140625" style="14" customWidth="1"/>
    <col min="2810" max="2810" width="4.6640625" style="14" customWidth="1"/>
    <col min="2811" max="2811" width="16.44140625" style="14" customWidth="1"/>
    <col min="2812" max="2812" width="9.5546875" style="14" customWidth="1"/>
    <col min="2813" max="3061" width="9.109375" style="14"/>
    <col min="3062" max="3062" width="9.33203125" style="14" customWidth="1"/>
    <col min="3063" max="3063" width="17.109375" style="14" customWidth="1"/>
    <col min="3064" max="3064" width="1.6640625" style="14" customWidth="1"/>
    <col min="3065" max="3065" width="7.44140625" style="14" customWidth="1"/>
    <col min="3066" max="3066" width="4.6640625" style="14" customWidth="1"/>
    <col min="3067" max="3067" width="16.44140625" style="14" customWidth="1"/>
    <col min="3068" max="3068" width="9.5546875" style="14" customWidth="1"/>
    <col min="3069" max="3317" width="9.109375" style="14"/>
    <col min="3318" max="3318" width="9.33203125" style="14" customWidth="1"/>
    <col min="3319" max="3319" width="17.109375" style="14" customWidth="1"/>
    <col min="3320" max="3320" width="1.6640625" style="14" customWidth="1"/>
    <col min="3321" max="3321" width="7.44140625" style="14" customWidth="1"/>
    <col min="3322" max="3322" width="4.6640625" style="14" customWidth="1"/>
    <col min="3323" max="3323" width="16.44140625" style="14" customWidth="1"/>
    <col min="3324" max="3324" width="9.5546875" style="14" customWidth="1"/>
    <col min="3325" max="3573" width="9.109375" style="14"/>
    <col min="3574" max="3574" width="9.33203125" style="14" customWidth="1"/>
    <col min="3575" max="3575" width="17.109375" style="14" customWidth="1"/>
    <col min="3576" max="3576" width="1.6640625" style="14" customWidth="1"/>
    <col min="3577" max="3577" width="7.44140625" style="14" customWidth="1"/>
    <col min="3578" max="3578" width="4.6640625" style="14" customWidth="1"/>
    <col min="3579" max="3579" width="16.44140625" style="14" customWidth="1"/>
    <col min="3580" max="3580" width="9.5546875" style="14" customWidth="1"/>
    <col min="3581" max="3829" width="9.109375" style="14"/>
    <col min="3830" max="3830" width="9.33203125" style="14" customWidth="1"/>
    <col min="3831" max="3831" width="17.109375" style="14" customWidth="1"/>
    <col min="3832" max="3832" width="1.6640625" style="14" customWidth="1"/>
    <col min="3833" max="3833" width="7.44140625" style="14" customWidth="1"/>
    <col min="3834" max="3834" width="4.6640625" style="14" customWidth="1"/>
    <col min="3835" max="3835" width="16.44140625" style="14" customWidth="1"/>
    <col min="3836" max="3836" width="9.5546875" style="14" customWidth="1"/>
    <col min="3837" max="4085" width="9.109375" style="14"/>
    <col min="4086" max="4086" width="9.33203125" style="14" customWidth="1"/>
    <col min="4087" max="4087" width="17.109375" style="14" customWidth="1"/>
    <col min="4088" max="4088" width="1.6640625" style="14" customWidth="1"/>
    <col min="4089" max="4089" width="7.44140625" style="14" customWidth="1"/>
    <col min="4090" max="4090" width="4.6640625" style="14" customWidth="1"/>
    <col min="4091" max="4091" width="16.44140625" style="14" customWidth="1"/>
    <col min="4092" max="4092" width="9.5546875" style="14" customWidth="1"/>
    <col min="4093" max="4341" width="9.109375" style="14"/>
    <col min="4342" max="4342" width="9.33203125" style="14" customWidth="1"/>
    <col min="4343" max="4343" width="17.109375" style="14" customWidth="1"/>
    <col min="4344" max="4344" width="1.6640625" style="14" customWidth="1"/>
    <col min="4345" max="4345" width="7.44140625" style="14" customWidth="1"/>
    <col min="4346" max="4346" width="4.6640625" style="14" customWidth="1"/>
    <col min="4347" max="4347" width="16.44140625" style="14" customWidth="1"/>
    <col min="4348" max="4348" width="9.5546875" style="14" customWidth="1"/>
    <col min="4349" max="4597" width="9.109375" style="14"/>
    <col min="4598" max="4598" width="9.33203125" style="14" customWidth="1"/>
    <col min="4599" max="4599" width="17.109375" style="14" customWidth="1"/>
    <col min="4600" max="4600" width="1.6640625" style="14" customWidth="1"/>
    <col min="4601" max="4601" width="7.44140625" style="14" customWidth="1"/>
    <col min="4602" max="4602" width="4.6640625" style="14" customWidth="1"/>
    <col min="4603" max="4603" width="16.44140625" style="14" customWidth="1"/>
    <col min="4604" max="4604" width="9.5546875" style="14" customWidth="1"/>
    <col min="4605" max="4853" width="9.109375" style="14"/>
    <col min="4854" max="4854" width="9.33203125" style="14" customWidth="1"/>
    <col min="4855" max="4855" width="17.109375" style="14" customWidth="1"/>
    <col min="4856" max="4856" width="1.6640625" style="14" customWidth="1"/>
    <col min="4857" max="4857" width="7.44140625" style="14" customWidth="1"/>
    <col min="4858" max="4858" width="4.6640625" style="14" customWidth="1"/>
    <col min="4859" max="4859" width="16.44140625" style="14" customWidth="1"/>
    <col min="4860" max="4860" width="9.5546875" style="14" customWidth="1"/>
    <col min="4861" max="5109" width="9.109375" style="14"/>
    <col min="5110" max="5110" width="9.33203125" style="14" customWidth="1"/>
    <col min="5111" max="5111" width="17.109375" style="14" customWidth="1"/>
    <col min="5112" max="5112" width="1.6640625" style="14" customWidth="1"/>
    <col min="5113" max="5113" width="7.44140625" style="14" customWidth="1"/>
    <col min="5114" max="5114" width="4.6640625" style="14" customWidth="1"/>
    <col min="5115" max="5115" width="16.44140625" style="14" customWidth="1"/>
    <col min="5116" max="5116" width="9.5546875" style="14" customWidth="1"/>
    <col min="5117" max="5365" width="9.109375" style="14"/>
    <col min="5366" max="5366" width="9.33203125" style="14" customWidth="1"/>
    <col min="5367" max="5367" width="17.109375" style="14" customWidth="1"/>
    <col min="5368" max="5368" width="1.6640625" style="14" customWidth="1"/>
    <col min="5369" max="5369" width="7.44140625" style="14" customWidth="1"/>
    <col min="5370" max="5370" width="4.6640625" style="14" customWidth="1"/>
    <col min="5371" max="5371" width="16.44140625" style="14" customWidth="1"/>
    <col min="5372" max="5372" width="9.5546875" style="14" customWidth="1"/>
    <col min="5373" max="5621" width="9.109375" style="14"/>
    <col min="5622" max="5622" width="9.33203125" style="14" customWidth="1"/>
    <col min="5623" max="5623" width="17.109375" style="14" customWidth="1"/>
    <col min="5624" max="5624" width="1.6640625" style="14" customWidth="1"/>
    <col min="5625" max="5625" width="7.44140625" style="14" customWidth="1"/>
    <col min="5626" max="5626" width="4.6640625" style="14" customWidth="1"/>
    <col min="5627" max="5627" width="16.44140625" style="14" customWidth="1"/>
    <col min="5628" max="5628" width="9.5546875" style="14" customWidth="1"/>
    <col min="5629" max="5877" width="9.109375" style="14"/>
    <col min="5878" max="5878" width="9.33203125" style="14" customWidth="1"/>
    <col min="5879" max="5879" width="17.109375" style="14" customWidth="1"/>
    <col min="5880" max="5880" width="1.6640625" style="14" customWidth="1"/>
    <col min="5881" max="5881" width="7.44140625" style="14" customWidth="1"/>
    <col min="5882" max="5882" width="4.6640625" style="14" customWidth="1"/>
    <col min="5883" max="5883" width="16.44140625" style="14" customWidth="1"/>
    <col min="5884" max="5884" width="9.5546875" style="14" customWidth="1"/>
    <col min="5885" max="6133" width="9.109375" style="14"/>
    <col min="6134" max="6134" width="9.33203125" style="14" customWidth="1"/>
    <col min="6135" max="6135" width="17.109375" style="14" customWidth="1"/>
    <col min="6136" max="6136" width="1.6640625" style="14" customWidth="1"/>
    <col min="6137" max="6137" width="7.44140625" style="14" customWidth="1"/>
    <col min="6138" max="6138" width="4.6640625" style="14" customWidth="1"/>
    <col min="6139" max="6139" width="16.44140625" style="14" customWidth="1"/>
    <col min="6140" max="6140" width="9.5546875" style="14" customWidth="1"/>
    <col min="6141" max="6389" width="9.109375" style="14"/>
    <col min="6390" max="6390" width="9.33203125" style="14" customWidth="1"/>
    <col min="6391" max="6391" width="17.109375" style="14" customWidth="1"/>
    <col min="6392" max="6392" width="1.6640625" style="14" customWidth="1"/>
    <col min="6393" max="6393" width="7.44140625" style="14" customWidth="1"/>
    <col min="6394" max="6394" width="4.6640625" style="14" customWidth="1"/>
    <col min="6395" max="6395" width="16.44140625" style="14" customWidth="1"/>
    <col min="6396" max="6396" width="9.5546875" style="14" customWidth="1"/>
    <col min="6397" max="6645" width="9.109375" style="14"/>
    <col min="6646" max="6646" width="9.33203125" style="14" customWidth="1"/>
    <col min="6647" max="6647" width="17.109375" style="14" customWidth="1"/>
    <col min="6648" max="6648" width="1.6640625" style="14" customWidth="1"/>
    <col min="6649" max="6649" width="7.44140625" style="14" customWidth="1"/>
    <col min="6650" max="6650" width="4.6640625" style="14" customWidth="1"/>
    <col min="6651" max="6651" width="16.44140625" style="14" customWidth="1"/>
    <col min="6652" max="6652" width="9.5546875" style="14" customWidth="1"/>
    <col min="6653" max="6901" width="9.109375" style="14"/>
    <col min="6902" max="6902" width="9.33203125" style="14" customWidth="1"/>
    <col min="6903" max="6903" width="17.109375" style="14" customWidth="1"/>
    <col min="6904" max="6904" width="1.6640625" style="14" customWidth="1"/>
    <col min="6905" max="6905" width="7.44140625" style="14" customWidth="1"/>
    <col min="6906" max="6906" width="4.6640625" style="14" customWidth="1"/>
    <col min="6907" max="6907" width="16.44140625" style="14" customWidth="1"/>
    <col min="6908" max="6908" width="9.5546875" style="14" customWidth="1"/>
    <col min="6909" max="7157" width="9.109375" style="14"/>
    <col min="7158" max="7158" width="9.33203125" style="14" customWidth="1"/>
    <col min="7159" max="7159" width="17.109375" style="14" customWidth="1"/>
    <col min="7160" max="7160" width="1.6640625" style="14" customWidth="1"/>
    <col min="7161" max="7161" width="7.44140625" style="14" customWidth="1"/>
    <col min="7162" max="7162" width="4.6640625" style="14" customWidth="1"/>
    <col min="7163" max="7163" width="16.44140625" style="14" customWidth="1"/>
    <col min="7164" max="7164" width="9.5546875" style="14" customWidth="1"/>
    <col min="7165" max="7413" width="9.109375" style="14"/>
    <col min="7414" max="7414" width="9.33203125" style="14" customWidth="1"/>
    <col min="7415" max="7415" width="17.109375" style="14" customWidth="1"/>
    <col min="7416" max="7416" width="1.6640625" style="14" customWidth="1"/>
    <col min="7417" max="7417" width="7.44140625" style="14" customWidth="1"/>
    <col min="7418" max="7418" width="4.6640625" style="14" customWidth="1"/>
    <col min="7419" max="7419" width="16.44140625" style="14" customWidth="1"/>
    <col min="7420" max="7420" width="9.5546875" style="14" customWidth="1"/>
    <col min="7421" max="7669" width="9.109375" style="14"/>
    <col min="7670" max="7670" width="9.33203125" style="14" customWidth="1"/>
    <col min="7671" max="7671" width="17.109375" style="14" customWidth="1"/>
    <col min="7672" max="7672" width="1.6640625" style="14" customWidth="1"/>
    <col min="7673" max="7673" width="7.44140625" style="14" customWidth="1"/>
    <col min="7674" max="7674" width="4.6640625" style="14" customWidth="1"/>
    <col min="7675" max="7675" width="16.44140625" style="14" customWidth="1"/>
    <col min="7676" max="7676" width="9.5546875" style="14" customWidth="1"/>
    <col min="7677" max="7925" width="9.109375" style="14"/>
    <col min="7926" max="7926" width="9.33203125" style="14" customWidth="1"/>
    <col min="7927" max="7927" width="17.109375" style="14" customWidth="1"/>
    <col min="7928" max="7928" width="1.6640625" style="14" customWidth="1"/>
    <col min="7929" max="7929" width="7.44140625" style="14" customWidth="1"/>
    <col min="7930" max="7930" width="4.6640625" style="14" customWidth="1"/>
    <col min="7931" max="7931" width="16.44140625" style="14" customWidth="1"/>
    <col min="7932" max="7932" width="9.5546875" style="14" customWidth="1"/>
    <col min="7933" max="8181" width="9.109375" style="14"/>
    <col min="8182" max="8182" width="9.33203125" style="14" customWidth="1"/>
    <col min="8183" max="8183" width="17.109375" style="14" customWidth="1"/>
    <col min="8184" max="8184" width="1.6640625" style="14" customWidth="1"/>
    <col min="8185" max="8185" width="7.44140625" style="14" customWidth="1"/>
    <col min="8186" max="8186" width="4.6640625" style="14" customWidth="1"/>
    <col min="8187" max="8187" width="16.44140625" style="14" customWidth="1"/>
    <col min="8188" max="8188" width="9.5546875" style="14" customWidth="1"/>
    <col min="8189" max="8437" width="9.109375" style="14"/>
    <col min="8438" max="8438" width="9.33203125" style="14" customWidth="1"/>
    <col min="8439" max="8439" width="17.109375" style="14" customWidth="1"/>
    <col min="8440" max="8440" width="1.6640625" style="14" customWidth="1"/>
    <col min="8441" max="8441" width="7.44140625" style="14" customWidth="1"/>
    <col min="8442" max="8442" width="4.6640625" style="14" customWidth="1"/>
    <col min="8443" max="8443" width="16.44140625" style="14" customWidth="1"/>
    <col min="8444" max="8444" width="9.5546875" style="14" customWidth="1"/>
    <col min="8445" max="8693" width="9.109375" style="14"/>
    <col min="8694" max="8694" width="9.33203125" style="14" customWidth="1"/>
    <col min="8695" max="8695" width="17.109375" style="14" customWidth="1"/>
    <col min="8696" max="8696" width="1.6640625" style="14" customWidth="1"/>
    <col min="8697" max="8697" width="7.44140625" style="14" customWidth="1"/>
    <col min="8698" max="8698" width="4.6640625" style="14" customWidth="1"/>
    <col min="8699" max="8699" width="16.44140625" style="14" customWidth="1"/>
    <col min="8700" max="8700" width="9.5546875" style="14" customWidth="1"/>
    <col min="8701" max="8949" width="9.109375" style="14"/>
    <col min="8950" max="8950" width="9.33203125" style="14" customWidth="1"/>
    <col min="8951" max="8951" width="17.109375" style="14" customWidth="1"/>
    <col min="8952" max="8952" width="1.6640625" style="14" customWidth="1"/>
    <col min="8953" max="8953" width="7.44140625" style="14" customWidth="1"/>
    <col min="8954" max="8954" width="4.6640625" style="14" customWidth="1"/>
    <col min="8955" max="8955" width="16.44140625" style="14" customWidth="1"/>
    <col min="8956" max="8956" width="9.5546875" style="14" customWidth="1"/>
    <col min="8957" max="9205" width="9.109375" style="14"/>
    <col min="9206" max="9206" width="9.33203125" style="14" customWidth="1"/>
    <col min="9207" max="9207" width="17.109375" style="14" customWidth="1"/>
    <col min="9208" max="9208" width="1.6640625" style="14" customWidth="1"/>
    <col min="9209" max="9209" width="7.44140625" style="14" customWidth="1"/>
    <col min="9210" max="9210" width="4.6640625" style="14" customWidth="1"/>
    <col min="9211" max="9211" width="16.44140625" style="14" customWidth="1"/>
    <col min="9212" max="9212" width="9.5546875" style="14" customWidth="1"/>
    <col min="9213" max="9461" width="9.109375" style="14"/>
    <col min="9462" max="9462" width="9.33203125" style="14" customWidth="1"/>
    <col min="9463" max="9463" width="17.109375" style="14" customWidth="1"/>
    <col min="9464" max="9464" width="1.6640625" style="14" customWidth="1"/>
    <col min="9465" max="9465" width="7.44140625" style="14" customWidth="1"/>
    <col min="9466" max="9466" width="4.6640625" style="14" customWidth="1"/>
    <col min="9467" max="9467" width="16.44140625" style="14" customWidth="1"/>
    <col min="9468" max="9468" width="9.5546875" style="14" customWidth="1"/>
    <col min="9469" max="9717" width="9.109375" style="14"/>
    <col min="9718" max="9718" width="9.33203125" style="14" customWidth="1"/>
    <col min="9719" max="9719" width="17.109375" style="14" customWidth="1"/>
    <col min="9720" max="9720" width="1.6640625" style="14" customWidth="1"/>
    <col min="9721" max="9721" width="7.44140625" style="14" customWidth="1"/>
    <col min="9722" max="9722" width="4.6640625" style="14" customWidth="1"/>
    <col min="9723" max="9723" width="16.44140625" style="14" customWidth="1"/>
    <col min="9724" max="9724" width="9.5546875" style="14" customWidth="1"/>
    <col min="9725" max="9973" width="9.109375" style="14"/>
    <col min="9974" max="9974" width="9.33203125" style="14" customWidth="1"/>
    <col min="9975" max="9975" width="17.109375" style="14" customWidth="1"/>
    <col min="9976" max="9976" width="1.6640625" style="14" customWidth="1"/>
    <col min="9977" max="9977" width="7.44140625" style="14" customWidth="1"/>
    <col min="9978" max="9978" width="4.6640625" style="14" customWidth="1"/>
    <col min="9979" max="9979" width="16.44140625" style="14" customWidth="1"/>
    <col min="9980" max="9980" width="9.5546875" style="14" customWidth="1"/>
    <col min="9981" max="10229" width="9.109375" style="14"/>
    <col min="10230" max="10230" width="9.33203125" style="14" customWidth="1"/>
    <col min="10231" max="10231" width="17.109375" style="14" customWidth="1"/>
    <col min="10232" max="10232" width="1.6640625" style="14" customWidth="1"/>
    <col min="10233" max="10233" width="7.44140625" style="14" customWidth="1"/>
    <col min="10234" max="10234" width="4.6640625" style="14" customWidth="1"/>
    <col min="10235" max="10235" width="16.44140625" style="14" customWidth="1"/>
    <col min="10236" max="10236" width="9.5546875" style="14" customWidth="1"/>
    <col min="10237" max="10485" width="9.109375" style="14"/>
    <col min="10486" max="10486" width="9.33203125" style="14" customWidth="1"/>
    <col min="10487" max="10487" width="17.109375" style="14" customWidth="1"/>
    <col min="10488" max="10488" width="1.6640625" style="14" customWidth="1"/>
    <col min="10489" max="10489" width="7.44140625" style="14" customWidth="1"/>
    <col min="10490" max="10490" width="4.6640625" style="14" customWidth="1"/>
    <col min="10491" max="10491" width="16.44140625" style="14" customWidth="1"/>
    <col min="10492" max="10492" width="9.5546875" style="14" customWidth="1"/>
    <col min="10493" max="10741" width="9.109375" style="14"/>
    <col min="10742" max="10742" width="9.33203125" style="14" customWidth="1"/>
    <col min="10743" max="10743" width="17.109375" style="14" customWidth="1"/>
    <col min="10744" max="10744" width="1.6640625" style="14" customWidth="1"/>
    <col min="10745" max="10745" width="7.44140625" style="14" customWidth="1"/>
    <col min="10746" max="10746" width="4.6640625" style="14" customWidth="1"/>
    <col min="10747" max="10747" width="16.44140625" style="14" customWidth="1"/>
    <col min="10748" max="10748" width="9.5546875" style="14" customWidth="1"/>
    <col min="10749" max="10997" width="9.109375" style="14"/>
    <col min="10998" max="10998" width="9.33203125" style="14" customWidth="1"/>
    <col min="10999" max="10999" width="17.109375" style="14" customWidth="1"/>
    <col min="11000" max="11000" width="1.6640625" style="14" customWidth="1"/>
    <col min="11001" max="11001" width="7.44140625" style="14" customWidth="1"/>
    <col min="11002" max="11002" width="4.6640625" style="14" customWidth="1"/>
    <col min="11003" max="11003" width="16.44140625" style="14" customWidth="1"/>
    <col min="11004" max="11004" width="9.5546875" style="14" customWidth="1"/>
    <col min="11005" max="11253" width="9.109375" style="14"/>
    <col min="11254" max="11254" width="9.33203125" style="14" customWidth="1"/>
    <col min="11255" max="11255" width="17.109375" style="14" customWidth="1"/>
    <col min="11256" max="11256" width="1.6640625" style="14" customWidth="1"/>
    <col min="11257" max="11257" width="7.44140625" style="14" customWidth="1"/>
    <col min="11258" max="11258" width="4.6640625" style="14" customWidth="1"/>
    <col min="11259" max="11259" width="16.44140625" style="14" customWidth="1"/>
    <col min="11260" max="11260" width="9.5546875" style="14" customWidth="1"/>
    <col min="11261" max="11509" width="9.109375" style="14"/>
    <col min="11510" max="11510" width="9.33203125" style="14" customWidth="1"/>
    <col min="11511" max="11511" width="17.109375" style="14" customWidth="1"/>
    <col min="11512" max="11512" width="1.6640625" style="14" customWidth="1"/>
    <col min="11513" max="11513" width="7.44140625" style="14" customWidth="1"/>
    <col min="11514" max="11514" width="4.6640625" style="14" customWidth="1"/>
    <col min="11515" max="11515" width="16.44140625" style="14" customWidth="1"/>
    <col min="11516" max="11516" width="9.5546875" style="14" customWidth="1"/>
    <col min="11517" max="11765" width="9.109375" style="14"/>
    <col min="11766" max="11766" width="9.33203125" style="14" customWidth="1"/>
    <col min="11767" max="11767" width="17.109375" style="14" customWidth="1"/>
    <col min="11768" max="11768" width="1.6640625" style="14" customWidth="1"/>
    <col min="11769" max="11769" width="7.44140625" style="14" customWidth="1"/>
    <col min="11770" max="11770" width="4.6640625" style="14" customWidth="1"/>
    <col min="11771" max="11771" width="16.44140625" style="14" customWidth="1"/>
    <col min="11772" max="11772" width="9.5546875" style="14" customWidth="1"/>
    <col min="11773" max="12021" width="9.109375" style="14"/>
    <col min="12022" max="12022" width="9.33203125" style="14" customWidth="1"/>
    <col min="12023" max="12023" width="17.109375" style="14" customWidth="1"/>
    <col min="12024" max="12024" width="1.6640625" style="14" customWidth="1"/>
    <col min="12025" max="12025" width="7.44140625" style="14" customWidth="1"/>
    <col min="12026" max="12026" width="4.6640625" style="14" customWidth="1"/>
    <col min="12027" max="12027" width="16.44140625" style="14" customWidth="1"/>
    <col min="12028" max="12028" width="9.5546875" style="14" customWidth="1"/>
    <col min="12029" max="12277" width="9.109375" style="14"/>
    <col min="12278" max="12278" width="9.33203125" style="14" customWidth="1"/>
    <col min="12279" max="12279" width="17.109375" style="14" customWidth="1"/>
    <col min="12280" max="12280" width="1.6640625" style="14" customWidth="1"/>
    <col min="12281" max="12281" width="7.44140625" style="14" customWidth="1"/>
    <col min="12282" max="12282" width="4.6640625" style="14" customWidth="1"/>
    <col min="12283" max="12283" width="16.44140625" style="14" customWidth="1"/>
    <col min="12284" max="12284" width="9.5546875" style="14" customWidth="1"/>
    <col min="12285" max="12533" width="9.109375" style="14"/>
    <col min="12534" max="12534" width="9.33203125" style="14" customWidth="1"/>
    <col min="12535" max="12535" width="17.109375" style="14" customWidth="1"/>
    <col min="12536" max="12536" width="1.6640625" style="14" customWidth="1"/>
    <col min="12537" max="12537" width="7.44140625" style="14" customWidth="1"/>
    <col min="12538" max="12538" width="4.6640625" style="14" customWidth="1"/>
    <col min="12539" max="12539" width="16.44140625" style="14" customWidth="1"/>
    <col min="12540" max="12540" width="9.5546875" style="14" customWidth="1"/>
    <col min="12541" max="12789" width="9.109375" style="14"/>
    <col min="12790" max="12790" width="9.33203125" style="14" customWidth="1"/>
    <col min="12791" max="12791" width="17.109375" style="14" customWidth="1"/>
    <col min="12792" max="12792" width="1.6640625" style="14" customWidth="1"/>
    <col min="12793" max="12793" width="7.44140625" style="14" customWidth="1"/>
    <col min="12794" max="12794" width="4.6640625" style="14" customWidth="1"/>
    <col min="12795" max="12795" width="16.44140625" style="14" customWidth="1"/>
    <col min="12796" max="12796" width="9.5546875" style="14" customWidth="1"/>
    <col min="12797" max="13045" width="9.109375" style="14"/>
    <col min="13046" max="13046" width="9.33203125" style="14" customWidth="1"/>
    <col min="13047" max="13047" width="17.109375" style="14" customWidth="1"/>
    <col min="13048" max="13048" width="1.6640625" style="14" customWidth="1"/>
    <col min="13049" max="13049" width="7.44140625" style="14" customWidth="1"/>
    <col min="13050" max="13050" width="4.6640625" style="14" customWidth="1"/>
    <col min="13051" max="13051" width="16.44140625" style="14" customWidth="1"/>
    <col min="13052" max="13052" width="9.5546875" style="14" customWidth="1"/>
    <col min="13053" max="13301" width="9.109375" style="14"/>
    <col min="13302" max="13302" width="9.33203125" style="14" customWidth="1"/>
    <col min="13303" max="13303" width="17.109375" style="14" customWidth="1"/>
    <col min="13304" max="13304" width="1.6640625" style="14" customWidth="1"/>
    <col min="13305" max="13305" width="7.44140625" style="14" customWidth="1"/>
    <col min="13306" max="13306" width="4.6640625" style="14" customWidth="1"/>
    <col min="13307" max="13307" width="16.44140625" style="14" customWidth="1"/>
    <col min="13308" max="13308" width="9.5546875" style="14" customWidth="1"/>
    <col min="13309" max="13557" width="9.109375" style="14"/>
    <col min="13558" max="13558" width="9.33203125" style="14" customWidth="1"/>
    <col min="13559" max="13559" width="17.109375" style="14" customWidth="1"/>
    <col min="13560" max="13560" width="1.6640625" style="14" customWidth="1"/>
    <col min="13561" max="13561" width="7.44140625" style="14" customWidth="1"/>
    <col min="13562" max="13562" width="4.6640625" style="14" customWidth="1"/>
    <col min="13563" max="13563" width="16.44140625" style="14" customWidth="1"/>
    <col min="13564" max="13564" width="9.5546875" style="14" customWidth="1"/>
    <col min="13565" max="13813" width="9.109375" style="14"/>
    <col min="13814" max="13814" width="9.33203125" style="14" customWidth="1"/>
    <col min="13815" max="13815" width="17.109375" style="14" customWidth="1"/>
    <col min="13816" max="13816" width="1.6640625" style="14" customWidth="1"/>
    <col min="13817" max="13817" width="7.44140625" style="14" customWidth="1"/>
    <col min="13818" max="13818" width="4.6640625" style="14" customWidth="1"/>
    <col min="13819" max="13819" width="16.44140625" style="14" customWidth="1"/>
    <col min="13820" max="13820" width="9.5546875" style="14" customWidth="1"/>
    <col min="13821" max="14069" width="9.109375" style="14"/>
    <col min="14070" max="14070" width="9.33203125" style="14" customWidth="1"/>
    <col min="14071" max="14071" width="17.109375" style="14" customWidth="1"/>
    <col min="14072" max="14072" width="1.6640625" style="14" customWidth="1"/>
    <col min="14073" max="14073" width="7.44140625" style="14" customWidth="1"/>
    <col min="14074" max="14074" width="4.6640625" style="14" customWidth="1"/>
    <col min="14075" max="14075" width="16.44140625" style="14" customWidth="1"/>
    <col min="14076" max="14076" width="9.5546875" style="14" customWidth="1"/>
    <col min="14077" max="14325" width="9.109375" style="14"/>
    <col min="14326" max="14326" width="9.33203125" style="14" customWidth="1"/>
    <col min="14327" max="14327" width="17.109375" style="14" customWidth="1"/>
    <col min="14328" max="14328" width="1.6640625" style="14" customWidth="1"/>
    <col min="14329" max="14329" width="7.44140625" style="14" customWidth="1"/>
    <col min="14330" max="14330" width="4.6640625" style="14" customWidth="1"/>
    <col min="14331" max="14331" width="16.44140625" style="14" customWidth="1"/>
    <col min="14332" max="14332" width="9.5546875" style="14" customWidth="1"/>
    <col min="14333" max="14581" width="9.109375" style="14"/>
    <col min="14582" max="14582" width="9.33203125" style="14" customWidth="1"/>
    <col min="14583" max="14583" width="17.109375" style="14" customWidth="1"/>
    <col min="14584" max="14584" width="1.6640625" style="14" customWidth="1"/>
    <col min="14585" max="14585" width="7.44140625" style="14" customWidth="1"/>
    <col min="14586" max="14586" width="4.6640625" style="14" customWidth="1"/>
    <col min="14587" max="14587" width="16.44140625" style="14" customWidth="1"/>
    <col min="14588" max="14588" width="9.5546875" style="14" customWidth="1"/>
    <col min="14589" max="14837" width="9.109375" style="14"/>
    <col min="14838" max="14838" width="9.33203125" style="14" customWidth="1"/>
    <col min="14839" max="14839" width="17.109375" style="14" customWidth="1"/>
    <col min="14840" max="14840" width="1.6640625" style="14" customWidth="1"/>
    <col min="14841" max="14841" width="7.44140625" style="14" customWidth="1"/>
    <col min="14842" max="14842" width="4.6640625" style="14" customWidth="1"/>
    <col min="14843" max="14843" width="16.44140625" style="14" customWidth="1"/>
    <col min="14844" max="14844" width="9.5546875" style="14" customWidth="1"/>
    <col min="14845" max="15093" width="9.109375" style="14"/>
    <col min="15094" max="15094" width="9.33203125" style="14" customWidth="1"/>
    <col min="15095" max="15095" width="17.109375" style="14" customWidth="1"/>
    <col min="15096" max="15096" width="1.6640625" style="14" customWidth="1"/>
    <col min="15097" max="15097" width="7.44140625" style="14" customWidth="1"/>
    <col min="15098" max="15098" width="4.6640625" style="14" customWidth="1"/>
    <col min="15099" max="15099" width="16.44140625" style="14" customWidth="1"/>
    <col min="15100" max="15100" width="9.5546875" style="14" customWidth="1"/>
    <col min="15101" max="15349" width="9.109375" style="14"/>
    <col min="15350" max="15350" width="9.33203125" style="14" customWidth="1"/>
    <col min="15351" max="15351" width="17.109375" style="14" customWidth="1"/>
    <col min="15352" max="15352" width="1.6640625" style="14" customWidth="1"/>
    <col min="15353" max="15353" width="7.44140625" style="14" customWidth="1"/>
    <col min="15354" max="15354" width="4.6640625" style="14" customWidth="1"/>
    <col min="15355" max="15355" width="16.44140625" style="14" customWidth="1"/>
    <col min="15356" max="15356" width="9.5546875" style="14" customWidth="1"/>
    <col min="15357" max="15605" width="9.109375" style="14"/>
    <col min="15606" max="15606" width="9.33203125" style="14" customWidth="1"/>
    <col min="15607" max="15607" width="17.109375" style="14" customWidth="1"/>
    <col min="15608" max="15608" width="1.6640625" style="14" customWidth="1"/>
    <col min="15609" max="15609" width="7.44140625" style="14" customWidth="1"/>
    <col min="15610" max="15610" width="4.6640625" style="14" customWidth="1"/>
    <col min="15611" max="15611" width="16.44140625" style="14" customWidth="1"/>
    <col min="15612" max="15612" width="9.5546875" style="14" customWidth="1"/>
    <col min="15613" max="15861" width="9.109375" style="14"/>
    <col min="15862" max="15862" width="9.33203125" style="14" customWidth="1"/>
    <col min="15863" max="15863" width="17.109375" style="14" customWidth="1"/>
    <col min="15864" max="15864" width="1.6640625" style="14" customWidth="1"/>
    <col min="15865" max="15865" width="7.44140625" style="14" customWidth="1"/>
    <col min="15866" max="15866" width="4.6640625" style="14" customWidth="1"/>
    <col min="15867" max="15867" width="16.44140625" style="14" customWidth="1"/>
    <col min="15868" max="15868" width="9.5546875" style="14" customWidth="1"/>
    <col min="15869" max="16117" width="9.109375" style="14"/>
    <col min="16118" max="16118" width="9.33203125" style="14" customWidth="1"/>
    <col min="16119" max="16119" width="17.109375" style="14" customWidth="1"/>
    <col min="16120" max="16120" width="1.6640625" style="14" customWidth="1"/>
    <col min="16121" max="16121" width="7.44140625" style="14" customWidth="1"/>
    <col min="16122" max="16122" width="4.6640625" style="14" customWidth="1"/>
    <col min="16123" max="16123" width="16.44140625" style="14" customWidth="1"/>
    <col min="16124" max="16124" width="9.5546875" style="14" customWidth="1"/>
    <col min="16125" max="16384" width="9.109375" style="14"/>
  </cols>
  <sheetData>
    <row r="1" spans="1:13" x14ac:dyDescent="0.25">
      <c r="A1" s="33" t="s">
        <v>34</v>
      </c>
      <c r="B1" s="34"/>
      <c r="C1" s="34"/>
      <c r="D1" s="34"/>
      <c r="E1" s="34"/>
      <c r="F1" s="34"/>
      <c r="G1" s="35"/>
    </row>
    <row r="2" spans="1:13" ht="13.8" x14ac:dyDescent="0.25">
      <c r="A2" s="5"/>
      <c r="B2" s="15"/>
      <c r="C2" s="15"/>
      <c r="D2" s="15"/>
      <c r="E2" s="15"/>
      <c r="F2" s="15"/>
      <c r="G2" s="16"/>
    </row>
    <row r="3" spans="1:13" ht="13.8" x14ac:dyDescent="0.25">
      <c r="A3" s="5"/>
      <c r="B3" s="15"/>
      <c r="C3" s="15"/>
      <c r="D3" s="15"/>
      <c r="E3" s="15"/>
      <c r="F3" s="15"/>
      <c r="G3" s="16"/>
    </row>
    <row r="4" spans="1:13" ht="13.8" x14ac:dyDescent="0.25">
      <c r="A4" s="5"/>
      <c r="B4" s="15"/>
      <c r="C4" s="15"/>
      <c r="D4" s="15"/>
      <c r="E4" s="15"/>
      <c r="F4" s="15"/>
      <c r="G4" s="16"/>
    </row>
    <row r="5" spans="1:13" ht="13.8" x14ac:dyDescent="0.25">
      <c r="A5" s="5"/>
      <c r="B5" s="15"/>
      <c r="C5" s="15"/>
      <c r="D5" s="15"/>
      <c r="E5" s="15"/>
      <c r="F5" s="15"/>
      <c r="G5" s="16"/>
    </row>
    <row r="6" spans="1:13" ht="13.8" x14ac:dyDescent="0.25">
      <c r="A6" s="5"/>
      <c r="B6" s="15"/>
      <c r="C6" s="15"/>
      <c r="D6" s="15"/>
      <c r="E6" s="15"/>
      <c r="F6" s="15"/>
      <c r="G6" s="16"/>
      <c r="K6" s="3" t="s">
        <v>13</v>
      </c>
      <c r="L6" s="14">
        <f>C18/C34/F19</f>
        <v>2.2032329193328937</v>
      </c>
    </row>
    <row r="7" spans="1:13" ht="13.8" x14ac:dyDescent="0.25">
      <c r="A7" s="5"/>
      <c r="B7" s="15"/>
      <c r="C7" s="15"/>
      <c r="D7" s="15"/>
      <c r="E7" s="15"/>
      <c r="F7" s="15"/>
      <c r="G7" s="16"/>
      <c r="K7" s="3" t="s">
        <v>29</v>
      </c>
      <c r="L7" s="14">
        <f>(_k1*C27^_k2/C25^_k3+_k4)</f>
        <v>1.5883187426408369</v>
      </c>
    </row>
    <row r="8" spans="1:13" ht="13.8" x14ac:dyDescent="0.25">
      <c r="A8" s="5"/>
      <c r="B8" s="15"/>
      <c r="C8" s="15"/>
      <c r="D8" s="15"/>
      <c r="E8" s="15"/>
      <c r="F8" s="15"/>
      <c r="G8" s="16"/>
      <c r="K8" s="14" t="s">
        <v>8</v>
      </c>
      <c r="L8" s="14">
        <f>1/L7</f>
        <v>0.62959654958005351</v>
      </c>
      <c r="M8" s="14">
        <f>1/(_k1*C27^_k2/C25^_k3+_k4)</f>
        <v>0.62959654958005351</v>
      </c>
    </row>
    <row r="9" spans="1:13" ht="13.8" x14ac:dyDescent="0.25">
      <c r="A9" s="5"/>
      <c r="B9" s="15"/>
      <c r="C9" s="15"/>
      <c r="D9" s="15"/>
      <c r="E9" s="15"/>
      <c r="F9" s="15"/>
      <c r="G9" s="16"/>
      <c r="K9" s="14" t="s">
        <v>28</v>
      </c>
      <c r="L9" s="14">
        <f>(1/L8-_k4)/_k1</f>
        <v>8.7808767558333875E-2</v>
      </c>
    </row>
    <row r="10" spans="1:13" ht="13.8" x14ac:dyDescent="0.25">
      <c r="A10" s="5"/>
      <c r="B10" s="15"/>
      <c r="C10" s="15"/>
      <c r="D10" s="15"/>
      <c r="E10" s="15"/>
      <c r="F10" s="15"/>
      <c r="G10" s="16"/>
      <c r="K10" s="3" t="s">
        <v>30</v>
      </c>
      <c r="L10" s="14">
        <f>C27^_k2/C25^_k3</f>
        <v>8.7808767558333861E-2</v>
      </c>
    </row>
    <row r="11" spans="1:13" ht="13.8" x14ac:dyDescent="0.25">
      <c r="A11" s="5"/>
      <c r="B11" s="15"/>
      <c r="C11" s="15"/>
      <c r="D11" s="15"/>
      <c r="E11" s="15"/>
      <c r="F11" s="15"/>
      <c r="G11" s="16"/>
      <c r="K11" s="3"/>
    </row>
    <row r="12" spans="1:13" ht="13.8" x14ac:dyDescent="0.25">
      <c r="A12" s="1" t="s">
        <v>16</v>
      </c>
      <c r="B12" s="17"/>
      <c r="C12" s="18">
        <f>INDEX(table,$F$12,1)</f>
        <v>6.7</v>
      </c>
      <c r="E12" s="11" t="s">
        <v>22</v>
      </c>
      <c r="F12" s="19">
        <v>1</v>
      </c>
    </row>
    <row r="13" spans="1:13" x14ac:dyDescent="0.25">
      <c r="A13" s="1" t="s">
        <v>17</v>
      </c>
      <c r="B13" s="17"/>
      <c r="C13" s="18">
        <f>INDEX(table,$F$12,2)</f>
        <v>0.4</v>
      </c>
      <c r="D13" s="20" t="s">
        <v>23</v>
      </c>
      <c r="E13" s="21" t="str">
        <f>INDEX(formulas,1,1)</f>
        <v>Van Der Meer (1988a) formula for Cubes (not Antifer), slope 1.5:1</v>
      </c>
      <c r="F13" s="22"/>
    </row>
    <row r="14" spans="1:13" x14ac:dyDescent="0.25">
      <c r="A14" s="1" t="s">
        <v>18</v>
      </c>
      <c r="B14" s="17"/>
      <c r="C14" s="18">
        <f>INDEX(table,$F$12,3)</f>
        <v>0.3</v>
      </c>
      <c r="D14" s="20" t="s">
        <v>24</v>
      </c>
      <c r="E14" s="21" t="str">
        <f>INDEX(formulas,2,1)</f>
        <v>Chegini-Aghtouman (2006) formula for Antifer Cubes, slope 1.5:1</v>
      </c>
      <c r="F14" s="22"/>
    </row>
    <row r="15" spans="1:13" x14ac:dyDescent="0.25">
      <c r="A15" s="1" t="s">
        <v>19</v>
      </c>
      <c r="B15" s="17"/>
      <c r="C15" s="18">
        <f>INDEX(table,$F$12,4)</f>
        <v>1</v>
      </c>
      <c r="D15" s="20" t="s">
        <v>25</v>
      </c>
      <c r="E15" s="21" t="str">
        <f>INDEX(formulas,3,1)</f>
        <v>Chegini-Aghtouman (2006) formula for Antifer Cubes, slope 2:1</v>
      </c>
      <c r="F15" s="22"/>
      <c r="K15" s="3" t="s">
        <v>9</v>
      </c>
      <c r="L15" s="14">
        <f>(F20/C31)^0.333333333</f>
        <v>3.2698771897956482</v>
      </c>
    </row>
    <row r="16" spans="1:13" x14ac:dyDescent="0.25">
      <c r="A16" s="1" t="s">
        <v>20</v>
      </c>
      <c r="B16" s="17"/>
      <c r="C16" s="18">
        <f>INDEX(table,$F$12,5)</f>
        <v>0.1</v>
      </c>
      <c r="D16" s="17"/>
      <c r="F16" s="17"/>
      <c r="K16" s="3" t="s">
        <v>11</v>
      </c>
      <c r="L16" s="14">
        <f>C18/C34/L15</f>
        <v>2.2032329219431794</v>
      </c>
    </row>
    <row r="17" spans="1:12" x14ac:dyDescent="0.25">
      <c r="K17" s="3" t="s">
        <v>31</v>
      </c>
      <c r="L17" s="14">
        <f>L7*C22^-_k5</f>
        <v>2.2032329193328937</v>
      </c>
    </row>
    <row r="18" spans="1:12" ht="14.25" customHeight="1" x14ac:dyDescent="0.35">
      <c r="A18" s="1" t="s">
        <v>0</v>
      </c>
      <c r="C18" s="23">
        <v>10</v>
      </c>
      <c r="E18" s="12" t="s">
        <v>41</v>
      </c>
      <c r="F18" s="24">
        <f>(_k1*C27^_k2/C25^_k3+_k4)/C29^_k5</f>
        <v>2.2032329193328937</v>
      </c>
      <c r="K18" s="3" t="s">
        <v>9</v>
      </c>
      <c r="L18" s="14">
        <f>L8*C18/C34*C22^_k5</f>
        <v>3.2698771936696431</v>
      </c>
    </row>
    <row r="19" spans="1:12" ht="14.25" customHeight="1" x14ac:dyDescent="0.35">
      <c r="A19" s="1" t="s">
        <v>7</v>
      </c>
      <c r="B19" s="1"/>
      <c r="C19" s="23">
        <v>13</v>
      </c>
      <c r="E19" s="12" t="s">
        <v>4</v>
      </c>
      <c r="F19" s="32">
        <f>C18/C34/F18</f>
        <v>3.2698771936696431</v>
      </c>
    </row>
    <row r="20" spans="1:12" ht="14.25" customHeight="1" x14ac:dyDescent="0.35">
      <c r="A20" s="1" t="s">
        <v>1</v>
      </c>
      <c r="C20" s="25">
        <f>9.80665*C19^2/(2*PI())</f>
        <v>263.77128303159088</v>
      </c>
      <c r="E20" s="12" t="s">
        <v>26</v>
      </c>
      <c r="F20" s="31">
        <f>F19^3*C31</f>
        <v>839.08424833240838</v>
      </c>
    </row>
    <row r="21" spans="1:12" ht="14.25" customHeight="1" x14ac:dyDescent="0.35">
      <c r="A21" s="1" t="s">
        <v>2</v>
      </c>
      <c r="C21" s="26">
        <f>2*PI()/C20</f>
        <v>2.3820581357323393E-2</v>
      </c>
      <c r="E21" s="13" t="s">
        <v>6</v>
      </c>
      <c r="F21" s="31">
        <f>IF(F12=3,C35*C18^3/2/F20,C35*C18^3/2/F20)</f>
        <v>5.3475055020841324</v>
      </c>
    </row>
    <row r="22" spans="1:12" ht="14.25" customHeight="1" x14ac:dyDescent="0.35">
      <c r="A22" s="1" t="s">
        <v>3</v>
      </c>
      <c r="C22" s="26">
        <f>C18/C20</f>
        <v>3.7911632703406681E-2</v>
      </c>
      <c r="E22" s="13" t="s">
        <v>32</v>
      </c>
      <c r="F22" s="31">
        <f>2*1.1*F19</f>
        <v>7.1937298260732154</v>
      </c>
    </row>
    <row r="23" spans="1:12" ht="14.25" customHeight="1" x14ac:dyDescent="0.25">
      <c r="E23" s="13" t="s">
        <v>33</v>
      </c>
      <c r="F23" s="27">
        <v>40</v>
      </c>
      <c r="K23" s="14" t="s">
        <v>12</v>
      </c>
      <c r="L23" s="14">
        <f>C31*(L8*C18/C34)^3*C22^(3*_k5)</f>
        <v>839.08424833240838</v>
      </c>
    </row>
    <row r="24" spans="1:12" ht="14.25" customHeight="1" x14ac:dyDescent="0.35">
      <c r="A24" s="1" t="s">
        <v>38</v>
      </c>
      <c r="C24" s="23">
        <v>12</v>
      </c>
      <c r="E24" s="13" t="s">
        <v>35</v>
      </c>
      <c r="F24" s="31">
        <f>100*2*1.1*(1-F23/100)/F19^2</f>
        <v>12.345567170558612</v>
      </c>
      <c r="L24" s="14">
        <f>C31*(2*PI()/9.80665)^(3*_k5)/C34^3*L8^3*C18^(3+3*_k5)/C19^(6*_k5)</f>
        <v>839.08424833240861</v>
      </c>
    </row>
    <row r="25" spans="1:12" ht="15.6" x14ac:dyDescent="0.35">
      <c r="A25" s="1" t="s">
        <v>39</v>
      </c>
      <c r="C25" s="30">
        <f>C24*3600/C19</f>
        <v>3323.0769230769229</v>
      </c>
    </row>
    <row r="26" spans="1:12" ht="15" customHeight="1" x14ac:dyDescent="0.25"/>
    <row r="27" spans="1:12" ht="15" customHeight="1" x14ac:dyDescent="0.35">
      <c r="A27" s="1" t="s">
        <v>40</v>
      </c>
      <c r="B27" s="1"/>
      <c r="C27" s="23">
        <v>1</v>
      </c>
    </row>
    <row r="28" spans="1:12" ht="15" customHeight="1" x14ac:dyDescent="0.25"/>
    <row r="29" spans="1:12" ht="15.6" x14ac:dyDescent="0.35">
      <c r="A29" s="1" t="s">
        <v>10</v>
      </c>
      <c r="C29" s="26">
        <f>C18/C20</f>
        <v>3.7911632703406681E-2</v>
      </c>
    </row>
    <row r="31" spans="1:12" ht="16.8" x14ac:dyDescent="0.35">
      <c r="A31" s="1" t="s">
        <v>27</v>
      </c>
      <c r="B31" s="1"/>
      <c r="C31" s="23">
        <v>24</v>
      </c>
    </row>
    <row r="32" spans="1:12" ht="18" customHeight="1" x14ac:dyDescent="0.25">
      <c r="A32" s="1"/>
      <c r="B32" s="1"/>
      <c r="C32" s="28"/>
      <c r="E32" s="2"/>
      <c r="F32" s="28"/>
    </row>
    <row r="33" spans="1:6" ht="16.8" x14ac:dyDescent="0.35">
      <c r="A33" s="1" t="s">
        <v>5</v>
      </c>
      <c r="B33" s="1"/>
      <c r="C33" s="23">
        <v>10.050000000000001</v>
      </c>
    </row>
    <row r="34" spans="1:6" ht="15" customHeight="1" x14ac:dyDescent="0.35">
      <c r="A34" s="1" t="s">
        <v>36</v>
      </c>
      <c r="B34" s="1"/>
      <c r="C34" s="26">
        <f>C31/C33-1</f>
        <v>1.3880597014925371</v>
      </c>
      <c r="E34" s="4"/>
      <c r="F34" s="29"/>
    </row>
    <row r="35" spans="1:6" ht="15" customHeight="1" x14ac:dyDescent="0.35">
      <c r="A35" s="1" t="s">
        <v>37</v>
      </c>
      <c r="C35" s="28">
        <f>C31/C34^3</f>
        <v>8.9740152693393647</v>
      </c>
    </row>
  </sheetData>
  <mergeCells count="1">
    <mergeCell ref="A1:G1"/>
  </mergeCells>
  <printOptions horizontalCentered="1" verticalCentered="1"/>
  <pageMargins left="0.19685039370078741" right="0.19685039370078741" top="0.19685039370078741" bottom="0.19685039370078741" header="0.59055118110236227" footer="0.51181102362204722"/>
  <pageSetup paperSize="8" scale="110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lha2"/>
  <dimension ref="A1:F4"/>
  <sheetViews>
    <sheetView showGridLines="0" workbookViewId="0"/>
  </sheetViews>
  <sheetFormatPr defaultColWidth="9.109375" defaultRowHeight="15" x14ac:dyDescent="0.25"/>
  <cols>
    <col min="1" max="1" width="37.88671875" style="6" customWidth="1"/>
    <col min="2" max="16384" width="9.109375" style="6"/>
  </cols>
  <sheetData>
    <row r="1" spans="1:6" ht="44.25" customHeight="1" x14ac:dyDescent="0.25">
      <c r="A1" s="10" t="s">
        <v>21</v>
      </c>
      <c r="B1" s="9" t="s">
        <v>16</v>
      </c>
      <c r="C1" s="9" t="s">
        <v>17</v>
      </c>
      <c r="D1" s="9" t="s">
        <v>18</v>
      </c>
      <c r="E1" s="9" t="s">
        <v>19</v>
      </c>
      <c r="F1" s="9" t="s">
        <v>20</v>
      </c>
    </row>
    <row r="2" spans="1:6" ht="50.1" customHeight="1" x14ac:dyDescent="0.25">
      <c r="A2" s="7" t="s">
        <v>42</v>
      </c>
      <c r="B2" s="8">
        <v>6.7</v>
      </c>
      <c r="C2" s="8">
        <v>0.4</v>
      </c>
      <c r="D2" s="8">
        <v>0.3</v>
      </c>
      <c r="E2" s="8">
        <v>1</v>
      </c>
      <c r="F2" s="8">
        <v>0.1</v>
      </c>
    </row>
    <row r="3" spans="1:6" ht="50.1" customHeight="1" x14ac:dyDescent="0.25">
      <c r="A3" s="7" t="s">
        <v>14</v>
      </c>
      <c r="B3" s="8">
        <v>6.9509999999999996</v>
      </c>
      <c r="C3" s="8">
        <v>0.443</v>
      </c>
      <c r="D3" s="8">
        <v>0.29099999999999998</v>
      </c>
      <c r="E3" s="8">
        <v>1.0820000000000001</v>
      </c>
      <c r="F3" s="8">
        <v>8.2000000000000003E-2</v>
      </c>
    </row>
    <row r="4" spans="1:6" ht="50.1" customHeight="1" x14ac:dyDescent="0.25">
      <c r="A4" s="7" t="s">
        <v>15</v>
      </c>
      <c r="B4" s="8">
        <v>6.1379999999999999</v>
      </c>
      <c r="C4" s="8">
        <v>0.443</v>
      </c>
      <c r="D4" s="8">
        <v>0.27600000000000002</v>
      </c>
      <c r="E4" s="8">
        <v>1.1639999999999999</v>
      </c>
      <c r="F4" s="8">
        <v>7.0000000000000007E-2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2</vt:i4>
      </vt:variant>
      <vt:variant>
        <vt:lpstr>Intervalos com Nome</vt:lpstr>
      </vt:variant>
      <vt:variant>
        <vt:i4>7</vt:i4>
      </vt:variant>
    </vt:vector>
  </HeadingPairs>
  <TitlesOfParts>
    <vt:vector size="9" baseType="lpstr">
      <vt:lpstr>formula</vt:lpstr>
      <vt:lpstr>parameters</vt:lpstr>
      <vt:lpstr>_k1</vt:lpstr>
      <vt:lpstr>_k2</vt:lpstr>
      <vt:lpstr>_k3</vt:lpstr>
      <vt:lpstr>_k4</vt:lpstr>
      <vt:lpstr>_k5</vt:lpstr>
      <vt:lpstr>formulas</vt:lpstr>
      <vt:lpstr>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2022-07-20T10:09:56Z</dcterms:created>
  <dcterms:modified xsi:type="dcterms:W3CDTF">2025-12-04T11:03:25Z</dcterms:modified>
</cp:coreProperties>
</file>