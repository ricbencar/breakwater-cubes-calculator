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Downloads\github\breakwater-cubes-calculator-main\"/>
    </mc:Choice>
  </mc:AlternateContent>
  <bookViews>
    <workbookView xWindow="0" yWindow="0" windowWidth="20490" windowHeight="7755"/>
  </bookViews>
  <sheets>
    <sheet name="formula" sheetId="2" r:id="rId1"/>
    <sheet name="verify" sheetId="3" r:id="rId2"/>
    <sheet name="parameters" sheetId="1" r:id="rId3"/>
  </sheets>
  <definedNames>
    <definedName name="_k1" localSheetId="1">verify!$C$12</definedName>
    <definedName name="_k1">formula!$C$14</definedName>
    <definedName name="_k2" localSheetId="1">verify!$C$13</definedName>
    <definedName name="_k2">formula!$C$15</definedName>
    <definedName name="_k3" localSheetId="1">verify!$C$14</definedName>
    <definedName name="_k3">formula!$C$16</definedName>
    <definedName name="_k4" localSheetId="1">verify!$C$15</definedName>
    <definedName name="_k4">formula!$C$17</definedName>
    <definedName name="_k5" localSheetId="1">verify!$C$16</definedName>
    <definedName name="_k5">formula!$C$18</definedName>
    <definedName name="formulas" localSheetId="1">parameters!$A$2:$A$5</definedName>
    <definedName name="formulas">parameters!$A$2:$A$5</definedName>
    <definedName name="solver_adj" localSheetId="1" hidden="1">verify!#REF!,verify!#REF!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verify!#REF!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2</definedName>
    <definedName name="solver_val" localSheetId="1" hidden="1">0</definedName>
    <definedName name="table" localSheetId="1">parameters!$B$2:$F$5</definedName>
    <definedName name="table">parameters!$B$2:$F$5</definedName>
  </definedNames>
  <calcPr calcId="152511"/>
</workbook>
</file>

<file path=xl/calcChain.xml><?xml version="1.0" encoding="utf-8"?>
<calcChain xmlns="http://schemas.openxmlformats.org/spreadsheetml/2006/main">
  <c r="C35" i="3" l="1"/>
  <c r="C34" i="3"/>
  <c r="C25" i="3"/>
  <c r="C20" i="3"/>
  <c r="C22" i="3" s="1"/>
  <c r="E16" i="3"/>
  <c r="C16" i="3"/>
  <c r="E15" i="3"/>
  <c r="C15" i="3"/>
  <c r="E14" i="3"/>
  <c r="C14" i="3"/>
  <c r="E13" i="3"/>
  <c r="C13" i="3"/>
  <c r="L10" i="3" s="1"/>
  <c r="C12" i="3"/>
  <c r="L7" i="3" l="1"/>
  <c r="L17" i="3" s="1"/>
  <c r="M8" i="3"/>
  <c r="C21" i="3"/>
  <c r="C29" i="3"/>
  <c r="F18" i="3" s="1"/>
  <c r="F19" i="3" s="1"/>
  <c r="F18" i="2"/>
  <c r="C18" i="2"/>
  <c r="C16" i="2"/>
  <c r="F19" i="2" s="1"/>
  <c r="C15" i="2"/>
  <c r="C19" i="2" s="1"/>
  <c r="C20" i="2" s="1"/>
  <c r="F14" i="2"/>
  <c r="F15" i="2" s="1"/>
  <c r="F11" i="2"/>
  <c r="F5" i="2"/>
  <c r="C5" i="2"/>
  <c r="K4" i="2"/>
  <c r="K6" i="2" s="1"/>
  <c r="F4" i="2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E2" i="1"/>
  <c r="C17" i="2" s="1"/>
  <c r="B2" i="1"/>
  <c r="C14" i="2" s="1"/>
  <c r="L8" i="3" l="1"/>
  <c r="L24" i="3" s="1"/>
  <c r="F24" i="3"/>
  <c r="L6" i="3"/>
  <c r="F22" i="3"/>
  <c r="F20" i="3"/>
  <c r="L9" i="3"/>
  <c r="L23" i="3"/>
  <c r="L18" i="3"/>
  <c r="F20" i="2"/>
  <c r="C21" i="2" s="1"/>
  <c r="K7" i="2"/>
  <c r="F16" i="2"/>
  <c r="L15" i="3" l="1"/>
  <c r="L16" i="3" s="1"/>
  <c r="F21" i="3"/>
  <c r="F21" i="2"/>
  <c r="C22" i="2" s="1"/>
  <c r="C25" i="2" s="1"/>
  <c r="F17" i="2"/>
  <c r="C30" i="2" l="1"/>
  <c r="C26" i="2"/>
  <c r="C29" i="2"/>
  <c r="K9" i="2"/>
  <c r="K12" i="2" s="1"/>
  <c r="K8" i="2"/>
  <c r="C28" i="2" l="1"/>
  <c r="K5" i="2" s="1"/>
  <c r="C31" i="2"/>
  <c r="C32" i="2" s="1"/>
  <c r="K19" i="2"/>
  <c r="K20" i="2" s="1"/>
  <c r="K10" i="2"/>
  <c r="C27" i="2"/>
  <c r="C33" i="2" l="1"/>
  <c r="C34" i="2"/>
  <c r="K33" i="2"/>
  <c r="K34" i="2" s="1"/>
  <c r="K13" i="2"/>
  <c r="K14" i="2" s="1"/>
  <c r="K11" i="2"/>
  <c r="N18" i="1"/>
  <c r="N14" i="1"/>
  <c r="N10" i="1"/>
  <c r="N6" i="1"/>
  <c r="N2" i="1"/>
  <c r="N16" i="1"/>
  <c r="N12" i="1"/>
  <c r="N4" i="1"/>
  <c r="N13" i="1"/>
  <c r="N5" i="1"/>
  <c r="N15" i="1"/>
  <c r="N11" i="1"/>
  <c r="N7" i="1"/>
  <c r="N3" i="1"/>
  <c r="N8" i="1"/>
  <c r="N17" i="1"/>
  <c r="N9" i="1"/>
  <c r="N20" i="1" l="1"/>
  <c r="N21" i="1" s="1"/>
  <c r="K22" i="2" s="1"/>
  <c r="K15" i="2"/>
  <c r="K16" i="2"/>
  <c r="O15" i="1"/>
  <c r="O11" i="1"/>
  <c r="O7" i="1"/>
  <c r="O3" i="1"/>
  <c r="O17" i="1"/>
  <c r="O13" i="1"/>
  <c r="O9" i="1"/>
  <c r="O18" i="1"/>
  <c r="O14" i="1"/>
  <c r="O10" i="1"/>
  <c r="O2" i="1"/>
  <c r="O16" i="1"/>
  <c r="O12" i="1"/>
  <c r="O8" i="1"/>
  <c r="O4" i="1"/>
  <c r="O5" i="1"/>
  <c r="O6" i="1"/>
  <c r="K23" i="2" l="1"/>
  <c r="K26" i="2" s="1"/>
  <c r="O20" i="1"/>
  <c r="O21" i="1" s="1"/>
  <c r="K35" i="2" s="1"/>
  <c r="K21" i="2"/>
  <c r="K24" i="2"/>
  <c r="K27" i="2" s="1"/>
  <c r="K28" i="2" s="1"/>
  <c r="K25" i="2"/>
  <c r="K36" i="2" l="1"/>
  <c r="K39" i="2" s="1"/>
  <c r="K37" i="2"/>
  <c r="K40" i="2" s="1"/>
  <c r="K30" i="2"/>
  <c r="K29" i="2"/>
  <c r="K38" i="2" l="1"/>
  <c r="K41" i="2" s="1"/>
  <c r="K42" i="2" s="1"/>
  <c r="K43" i="2" s="1"/>
  <c r="K44" i="2" l="1"/>
</calcChain>
</file>

<file path=xl/sharedStrings.xml><?xml version="1.0" encoding="utf-8"?>
<sst xmlns="http://schemas.openxmlformats.org/spreadsheetml/2006/main" count="167" uniqueCount="133">
  <si>
    <t>Formula</t>
  </si>
  <si>
    <t>k1</t>
  </si>
  <si>
    <t>k2</t>
  </si>
  <si>
    <t>k3</t>
  </si>
  <si>
    <t>k4</t>
  </si>
  <si>
    <t>k5</t>
  </si>
  <si>
    <t>Type</t>
  </si>
  <si>
    <t>Slope Ratio</t>
  </si>
  <si>
    <t>Grading</t>
  </si>
  <si>
    <t>NLL_kg</t>
  </si>
  <si>
    <t>NUL_kg</t>
  </si>
  <si>
    <t>Range_kg</t>
  </si>
  <si>
    <t>TrunkWidth</t>
  </si>
  <si>
    <t>HeadWidth</t>
  </si>
  <si>
    <t>Van der Meer (1988a) - Simple Cubes (Slope 2.0:1)</t>
  </si>
  <si>
    <t>Cubes</t>
  </si>
  <si>
    <t>CP32/90</t>
  </si>
  <si>
    <t>Van der Meer (1988a) - Simple Cubes (Slope 1.5:1)</t>
  </si>
  <si>
    <t>CP45/125</t>
  </si>
  <si>
    <t>Chegini-Aghtouman (2006) - Antifer (Slope 2:1)</t>
  </si>
  <si>
    <t>Antifer</t>
  </si>
  <si>
    <t>CP63/180</t>
  </si>
  <si>
    <t>Chegini-Aghtouman (2006) - Antifer (Slope 1.5:1)</t>
  </si>
  <si>
    <t>CP90/250</t>
  </si>
  <si>
    <t>CP45/180</t>
  </si>
  <si>
    <t>CP90/180</t>
  </si>
  <si>
    <t>LMA5-40</t>
  </si>
  <si>
    <t>LMA10-60</t>
  </si>
  <si>
    <t>LMA15-120</t>
  </si>
  <si>
    <t>LMA40-200</t>
  </si>
  <si>
    <t>LMA60-300</t>
  </si>
  <si>
    <t>LMA15-300</t>
  </si>
  <si>
    <t>HMA300-1000</t>
  </si>
  <si>
    <t>HMA1000-3000</t>
  </si>
  <si>
    <t>HMA3000-6000</t>
  </si>
  <si>
    <t>HMA6000-10000</t>
  </si>
  <si>
    <t>HMA10000-15000</t>
  </si>
  <si>
    <t>INPUTS &amp; CONTROLS</t>
  </si>
  <si>
    <t>HEAD ARMOR RESULTS</t>
  </si>
  <si>
    <t>Formula ID</t>
  </si>
  <si>
    <t>Selected Formula</t>
  </si>
  <si>
    <t>Kd Ratio</t>
  </si>
  <si>
    <t>Block Type</t>
  </si>
  <si>
    <t>Kd Head (eq.)</t>
  </si>
  <si>
    <t>Hs [m]</t>
  </si>
  <si>
    <t>P_cubes [-]</t>
  </si>
  <si>
    <t>delta_head [-]</t>
  </si>
  <si>
    <t>Tm [s]</t>
  </si>
  <si>
    <t>P_rock [-]</t>
  </si>
  <si>
    <t>Wc Head [kN/m³]</t>
  </si>
  <si>
    <t>Number of Waves (Nz)</t>
  </si>
  <si>
    <t>g [m/s²]</t>
  </si>
  <si>
    <t>Ns_head</t>
  </si>
  <si>
    <t>Nod (Damage)</t>
  </si>
  <si>
    <t>KD Ratio Fixed</t>
  </si>
  <si>
    <t>Dn [m]</t>
  </si>
  <si>
    <t>Wc Trunk [kN/m³]</t>
  </si>
  <si>
    <t>W_rock_spec [kN/m³]</t>
  </si>
  <si>
    <t>Block Weight W [kN]</t>
  </si>
  <si>
    <t>Ww [kN/m³]</t>
  </si>
  <si>
    <t>Storm Duration [h]</t>
  </si>
  <si>
    <t>Mass [t]</t>
  </si>
  <si>
    <t>Packing d [units/100m²]</t>
  </si>
  <si>
    <t>COEFFICIENTS &amp; HYDRAULICS</t>
  </si>
  <si>
    <t>Volume [m³]</t>
  </si>
  <si>
    <t>L0 [m]</t>
  </si>
  <si>
    <t>Height H [m]</t>
  </si>
  <si>
    <t>k0 [1/m]</t>
  </si>
  <si>
    <t>Base Width A [m]</t>
  </si>
  <si>
    <t>s0m [-]</t>
  </si>
  <si>
    <t>Top Width B [m]</t>
  </si>
  <si>
    <t>sm [-]</t>
  </si>
  <si>
    <t>delta_trunk [-]</t>
  </si>
  <si>
    <t>TRUNK UNDERLAYER</t>
  </si>
  <si>
    <t>term_damage</t>
  </si>
  <si>
    <t>term_waves</t>
  </si>
  <si>
    <t>Target W/10 [kN]</t>
  </si>
  <si>
    <t>damage/wave ratio</t>
  </si>
  <si>
    <t>scaled_term</t>
  </si>
  <si>
    <t>Target Mass [kg]</t>
  </si>
  <si>
    <t>inv_f = scaled + k4</t>
  </si>
  <si>
    <t>steepness_factor</t>
  </si>
  <si>
    <t>Adopted Grading</t>
  </si>
  <si>
    <t>Ns_trunk</t>
  </si>
  <si>
    <t>NLL [kg]</t>
  </si>
  <si>
    <t>NUL [kg]</t>
  </si>
  <si>
    <t>TRUNK ARMOR RESULTS</t>
  </si>
  <si>
    <t>M50 [kg]</t>
  </si>
  <si>
    <t>ELL [kg]</t>
  </si>
  <si>
    <t>EUL [kg]</t>
  </si>
  <si>
    <t>W_mean [kN]</t>
  </si>
  <si>
    <t>Kd Trunk (eq.)</t>
  </si>
  <si>
    <t>Dn_rock [m]</t>
  </si>
  <si>
    <t>Double Layer r1 [m]</t>
  </si>
  <si>
    <t>r2 [m]</t>
  </si>
  <si>
    <t>f2 [rocks/100m²]</t>
  </si>
  <si>
    <t>HEAD UNDERLAYER</t>
  </si>
  <si>
    <t>BREAKWATER ARMOR CALCULATOR</t>
  </si>
  <si>
    <t>FORMULAS FOR CUBES &amp; ANTIFER CUBES</t>
  </si>
  <si>
    <t>Ns = Hs/delta/Dn</t>
  </si>
  <si>
    <t>1/f=(k1*Nod^k2/Nz^k3+k4)</t>
  </si>
  <si>
    <t>f</t>
  </si>
  <si>
    <t>(1/f-k4)/k1</t>
  </si>
  <si>
    <t>Nod^k2/Nz^k3</t>
  </si>
  <si>
    <t>Formula:</t>
  </si>
  <si>
    <t>1=</t>
  </si>
  <si>
    <t>2=</t>
  </si>
  <si>
    <t>3=</t>
  </si>
  <si>
    <t>Dn</t>
  </si>
  <si>
    <t>4=</t>
  </si>
  <si>
    <t>Hs /  delta / Dn</t>
  </si>
  <si>
    <t>1/f *sm^-k5</t>
  </si>
  <si>
    <r>
      <t>H</t>
    </r>
    <r>
      <rPr>
        <b/>
        <vertAlign val="subscript"/>
        <sz val="10"/>
        <rFont val="Arial"/>
        <family val="2"/>
      </rPr>
      <t>s</t>
    </r>
    <r>
      <rPr>
        <b/>
        <sz val="10"/>
        <rFont val="Arial"/>
        <family val="2"/>
      </rPr>
      <t xml:space="preserve"> [m]</t>
    </r>
  </si>
  <si>
    <r>
      <t>H</t>
    </r>
    <r>
      <rPr>
        <b/>
        <vertAlign val="subscript"/>
        <sz val="10"/>
        <rFont val="Arial"/>
        <family val="2"/>
      </rPr>
      <t>s</t>
    </r>
    <r>
      <rPr>
        <b/>
        <sz val="10"/>
        <rFont val="Arial"/>
        <family val="2"/>
      </rPr>
      <t>/(</t>
    </r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>D</t>
    </r>
    <r>
      <rPr>
        <b/>
        <vertAlign val="subscript"/>
        <sz val="10"/>
        <rFont val="Arial"/>
        <family val="2"/>
      </rPr>
      <t>50</t>
    </r>
    <r>
      <rPr>
        <b/>
        <sz val="10"/>
        <rFont val="Arial"/>
        <family val="2"/>
      </rPr>
      <t>)</t>
    </r>
  </si>
  <si>
    <r>
      <t>T</t>
    </r>
    <r>
      <rPr>
        <b/>
        <vertAlign val="subscript"/>
        <sz val="10"/>
        <rFont val="Arial"/>
        <family val="2"/>
      </rPr>
      <t xml:space="preserve">m </t>
    </r>
    <r>
      <rPr>
        <b/>
        <sz val="10"/>
        <rFont val="Arial"/>
        <family val="2"/>
      </rPr>
      <t>[s]</t>
    </r>
  </si>
  <si>
    <r>
      <t>D</t>
    </r>
    <r>
      <rPr>
        <b/>
        <vertAlign val="subscript"/>
        <sz val="10"/>
        <rFont val="Arial"/>
        <family val="2"/>
      </rPr>
      <t>50</t>
    </r>
  </si>
  <si>
    <r>
      <t>L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 xml:space="preserve"> [m]</t>
    </r>
  </si>
  <si>
    <r>
      <t>W=W</t>
    </r>
    <r>
      <rPr>
        <b/>
        <vertAlign val="subscript"/>
        <sz val="10"/>
        <rFont val="Arial"/>
        <family val="2"/>
      </rPr>
      <t>c.</t>
    </r>
    <r>
      <rPr>
        <b/>
        <sz val="10"/>
        <rFont val="Arial"/>
        <family val="2"/>
      </rPr>
      <t>D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 xml:space="preserve"> [kN]</t>
    </r>
  </si>
  <si>
    <r>
      <t>k</t>
    </r>
    <r>
      <rPr>
        <b/>
        <vertAlign val="subscript"/>
        <sz val="10"/>
        <rFont val="Arial"/>
        <family val="2"/>
      </rPr>
      <t>0</t>
    </r>
  </si>
  <si>
    <r>
      <t>K</t>
    </r>
    <r>
      <rPr>
        <b/>
        <vertAlign val="subscript"/>
        <sz val="10"/>
        <rFont val="Arial"/>
        <family val="2"/>
      </rPr>
      <t>d,Hudson</t>
    </r>
  </si>
  <si>
    <r>
      <t>s</t>
    </r>
    <r>
      <rPr>
        <b/>
        <vertAlign val="subscript"/>
        <sz val="10"/>
        <rFont val="Arial"/>
        <family val="2"/>
      </rPr>
      <t>0m</t>
    </r>
    <r>
      <rPr>
        <b/>
        <sz val="10"/>
        <rFont val="Arial"/>
        <family val="2"/>
      </rPr>
      <t>=H</t>
    </r>
    <r>
      <rPr>
        <b/>
        <vertAlign val="subscript"/>
        <sz val="10"/>
        <rFont val="Arial"/>
        <family val="2"/>
      </rPr>
      <t>s0</t>
    </r>
    <r>
      <rPr>
        <b/>
        <sz val="10"/>
        <rFont val="Arial"/>
        <family val="2"/>
      </rPr>
      <t>/L</t>
    </r>
    <r>
      <rPr>
        <b/>
        <vertAlign val="subscript"/>
        <sz val="10"/>
        <rFont val="Arial"/>
        <family val="2"/>
      </rPr>
      <t>0</t>
    </r>
  </si>
  <si>
    <r>
      <t>Double layer, r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[m]</t>
    </r>
  </si>
  <si>
    <t>Porosity, P [%]</t>
  </si>
  <si>
    <t>W</t>
  </si>
  <si>
    <t>Duration [h]</t>
  </si>
  <si>
    <r>
      <t>f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[cubes/100m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]</t>
    </r>
  </si>
  <si>
    <r>
      <t>N</t>
    </r>
    <r>
      <rPr>
        <b/>
        <vertAlign val="subscript"/>
        <sz val="10"/>
        <rFont val="Arial"/>
        <family val="2"/>
      </rPr>
      <t>z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[waves]</t>
    </r>
  </si>
  <si>
    <r>
      <t>N</t>
    </r>
    <r>
      <rPr>
        <b/>
        <vertAlign val="subscript"/>
        <sz val="10"/>
        <rFont val="Arial"/>
        <family val="2"/>
      </rPr>
      <t>od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(damage)</t>
    </r>
  </si>
  <si>
    <r>
      <t>s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=H</t>
    </r>
    <r>
      <rPr>
        <b/>
        <vertAlign val="subscript"/>
        <sz val="10"/>
        <rFont val="Arial"/>
        <family val="2"/>
      </rPr>
      <t>s</t>
    </r>
    <r>
      <rPr>
        <b/>
        <sz val="10"/>
        <rFont val="Arial"/>
        <family val="2"/>
      </rPr>
      <t>/L0</t>
    </r>
  </si>
  <si>
    <r>
      <t>W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 xml:space="preserve"> [kN/m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]</t>
    </r>
  </si>
  <si>
    <r>
      <t>W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 xml:space="preserve"> [kN/m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]</t>
    </r>
  </si>
  <si>
    <r>
      <t>D=(W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>/W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)-1</t>
    </r>
  </si>
  <si>
    <r>
      <t>Wc/(W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>/W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-1)</t>
    </r>
    <r>
      <rPr>
        <b/>
        <vertAlign val="superscript"/>
        <sz val="10"/>
        <rFont val="Arial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</si>
</sst>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6" formatCode="0.00000"/>
    <numFmt numFmtId="167" formatCode="0.00000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FFFFFF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b/>
      <sz val="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4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1" fontId="2" fillId="3" borderId="0" xfId="0" applyNumberFormat="1" applyFont="1" applyFill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2" fontId="2" fillId="3" borderId="0" xfId="0" applyNumberFormat="1" applyFont="1" applyFill="1" applyAlignment="1">
      <alignment horizontal="left" vertical="center"/>
    </xf>
    <xf numFmtId="2" fontId="2" fillId="4" borderId="1" xfId="0" applyNumberFormat="1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166" fontId="2" fillId="4" borderId="1" xfId="0" applyNumberFormat="1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0" fontId="5" fillId="0" borderId="4" xfId="1"/>
    <xf numFmtId="0" fontId="6" fillId="0" borderId="4" xfId="1" applyFont="1" applyAlignment="1">
      <alignment horizontal="left" vertical="center" wrapText="1" shrinkToFit="1"/>
    </xf>
    <xf numFmtId="0" fontId="5" fillId="0" borderId="4" xfId="1" applyFont="1" applyAlignment="1">
      <alignment horizontal="left" wrapText="1" shrinkToFit="1"/>
    </xf>
    <xf numFmtId="0" fontId="5" fillId="0" borderId="4" xfId="1" applyFont="1"/>
    <xf numFmtId="0" fontId="5" fillId="0" borderId="4" xfId="1" applyAlignment="1">
      <alignment horizontal="right"/>
    </xf>
    <xf numFmtId="0" fontId="7" fillId="0" borderId="4" xfId="1" applyFont="1" applyAlignment="1">
      <alignment horizontal="right"/>
    </xf>
    <xf numFmtId="0" fontId="5" fillId="0" borderId="4" xfId="1" applyAlignment="1">
      <alignment horizontal="left" wrapText="1" shrinkToFit="1"/>
    </xf>
    <xf numFmtId="164" fontId="5" fillId="0" borderId="4" xfId="1" applyNumberFormat="1" applyAlignment="1">
      <alignment horizontal="left"/>
    </xf>
    <xf numFmtId="0" fontId="6" fillId="0" borderId="4" xfId="1" applyFont="1" applyAlignment="1">
      <alignment horizontal="right" vertical="center" wrapText="1" shrinkToFit="1"/>
    </xf>
    <xf numFmtId="0" fontId="5" fillId="6" borderId="4" xfId="1" applyFill="1" applyAlignment="1">
      <alignment horizontal="left" wrapText="1" shrinkToFit="1"/>
    </xf>
    <xf numFmtId="0" fontId="5" fillId="0" borderId="4" xfId="1" quotePrefix="1" applyAlignment="1">
      <alignment horizontal="right"/>
    </xf>
    <xf numFmtId="0" fontId="5" fillId="0" borderId="4" xfId="1" quotePrefix="1" applyAlignment="1">
      <alignment horizontal="left"/>
    </xf>
    <xf numFmtId="0" fontId="5" fillId="0" borderId="4" xfId="1" applyFont="1" applyAlignment="1">
      <alignment horizontal="left"/>
    </xf>
    <xf numFmtId="0" fontId="5" fillId="6" borderId="4" xfId="1" applyFill="1" applyAlignment="1">
      <alignment horizontal="left"/>
    </xf>
    <xf numFmtId="0" fontId="7" fillId="0" borderId="5" xfId="1" applyFont="1" applyBorder="1" applyAlignment="1">
      <alignment horizontal="right" wrapText="1" shrinkToFit="1"/>
    </xf>
    <xf numFmtId="166" fontId="5" fillId="0" borderId="5" xfId="1" applyNumberFormat="1" applyBorder="1" applyAlignment="1">
      <alignment horizontal="left"/>
    </xf>
    <xf numFmtId="164" fontId="5" fillId="0" borderId="5" xfId="1" applyNumberFormat="1" applyBorder="1" applyAlignment="1">
      <alignment horizontal="left"/>
    </xf>
    <xf numFmtId="2" fontId="5" fillId="0" borderId="4" xfId="1" applyNumberFormat="1" applyAlignment="1">
      <alignment horizontal="left"/>
    </xf>
    <xf numFmtId="2" fontId="5" fillId="0" borderId="5" xfId="1" applyNumberFormat="1" applyBorder="1" applyAlignment="1">
      <alignment horizontal="left"/>
    </xf>
    <xf numFmtId="167" fontId="5" fillId="0" borderId="4" xfId="1" applyNumberFormat="1" applyAlignment="1">
      <alignment horizontal="left"/>
    </xf>
    <xf numFmtId="0" fontId="7" fillId="0" borderId="5" xfId="1" applyFont="1" applyBorder="1" applyAlignment="1">
      <alignment horizontal="right"/>
    </xf>
    <xf numFmtId="0" fontId="5" fillId="0" borderId="5" xfId="1" applyBorder="1" applyAlignment="1">
      <alignment horizontal="left"/>
    </xf>
    <xf numFmtId="1" fontId="5" fillId="6" borderId="4" xfId="1" applyNumberFormat="1" applyFill="1" applyAlignment="1">
      <alignment horizontal="left"/>
    </xf>
    <xf numFmtId="0" fontId="5" fillId="0" borderId="4" xfId="1" applyAlignment="1">
      <alignment horizontal="left"/>
    </xf>
    <xf numFmtId="0" fontId="7" fillId="0" borderId="4" xfId="1" applyFont="1" applyAlignment="1">
      <alignment horizontal="right" wrapText="1" shrinkToFit="1"/>
    </xf>
    <xf numFmtId="0" fontId="11" fillId="0" borderId="4" xfId="1" applyFont="1" applyAlignment="1">
      <alignment wrapText="1" shrinkToFit="1"/>
    </xf>
    <xf numFmtId="0" fontId="5" fillId="0" borderId="4" xfId="1" applyAlignment="1">
      <alignment wrapText="1" shrinkToFi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left" vertical="center"/>
    </xf>
    <xf numFmtId="0" fontId="0" fillId="0" borderId="0" xfId="0"/>
    <xf numFmtId="0" fontId="6" fillId="0" borderId="4" xfId="1" applyFont="1" applyAlignment="1">
      <alignment horizontal="left" vertical="top" wrapText="1" shrinkToFit="1"/>
    </xf>
    <xf numFmtId="0" fontId="5" fillId="0" borderId="4" xfId="1" applyFont="1" applyAlignment="1">
      <alignment horizontal="left" vertical="top" wrapText="1" shrinkToFit="1"/>
    </xf>
    <xf numFmtId="0" fontId="5" fillId="0" borderId="4" xfId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3ea19e0808f24cbf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34</xdr:row>
      <xdr:rowOff>28575</xdr:rowOff>
    </xdr:to>
    <xdr:sp macro="" textlink="">
      <xdr:nvSpPr>
        <xdr:cNvPr id="1026" name="Text Box 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0</xdr:colOff>
      <xdr:row>34</xdr:row>
      <xdr:rowOff>28575</xdr:rowOff>
    </xdr:to>
    <xdr:sp macro="" textlink="">
      <xdr:nvSpPr>
        <xdr:cNvPr id="2" name="AutoShape 2"/>
        <xdr:cNvSpPr>
          <a:spLocks noChangeArrowheads="1"/>
        </xdr:cNvSpPr>
      </xdr:nvSpPr>
      <xdr:spPr bwMode="auto">
        <a:xfrm>
          <a:off x="0" y="0"/>
          <a:ext cx="97631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0</xdr:colOff>
      <xdr:row>34</xdr:row>
      <xdr:rowOff>28575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0" y="0"/>
          <a:ext cx="97631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0</xdr:colOff>
      <xdr:row>34</xdr:row>
      <xdr:rowOff>28575</xdr:rowOff>
    </xdr:to>
    <xdr:sp macro="" textlink="">
      <xdr:nvSpPr>
        <xdr:cNvPr id="4" name="AutoShape 2"/>
        <xdr:cNvSpPr>
          <a:spLocks noChangeArrowheads="1"/>
        </xdr:cNvSpPr>
      </xdr:nvSpPr>
      <xdr:spPr bwMode="auto">
        <a:xfrm>
          <a:off x="0" y="0"/>
          <a:ext cx="97631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171450</xdr:rowOff>
    </xdr:from>
    <xdr:to>
      <xdr:col>6</xdr:col>
      <xdr:colOff>771524</xdr:colOff>
      <xdr:row>10</xdr:row>
      <xdr:rowOff>14558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"/>
          <a:ext cx="5438774" cy="1557608"/>
        </a:xfrm>
        <a:prstGeom prst="rect">
          <a:avLst/>
        </a:prstGeom>
      </xdr:spPr>
    </xdr:pic>
    <xdr:clientData/>
  </xdr:twoCellAnchor>
  <xdr:twoCellAnchor editAs="oneCell">
    <xdr:from>
      <xdr:col>7</xdr:col>
      <xdr:colOff>160019</xdr:colOff>
      <xdr:row>1</xdr:row>
      <xdr:rowOff>118111</xdr:rowOff>
    </xdr:from>
    <xdr:to>
      <xdr:col>15</xdr:col>
      <xdr:colOff>594360</xdr:colOff>
      <xdr:row>5</xdr:row>
      <xdr:rowOff>6897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9344" y="280036"/>
          <a:ext cx="5311141" cy="650786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10</xdr:row>
      <xdr:rowOff>147732</xdr:rowOff>
    </xdr:from>
    <xdr:to>
      <xdr:col>15</xdr:col>
      <xdr:colOff>495301</xdr:colOff>
      <xdr:row>13</xdr:row>
      <xdr:rowOff>7871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7450" y="2024157"/>
          <a:ext cx="5133976" cy="403064"/>
        </a:xfrm>
        <a:prstGeom prst="rect">
          <a:avLst/>
        </a:prstGeom>
      </xdr:spPr>
    </xdr:pic>
    <xdr:clientData/>
  </xdr:twoCellAnchor>
  <xdr:twoCellAnchor editAs="oneCell">
    <xdr:from>
      <xdr:col>7</xdr:col>
      <xdr:colOff>209550</xdr:colOff>
      <xdr:row>18</xdr:row>
      <xdr:rowOff>51707</xdr:rowOff>
    </xdr:from>
    <xdr:to>
      <xdr:col>14</xdr:col>
      <xdr:colOff>161925</xdr:colOff>
      <xdr:row>21</xdr:row>
      <xdr:rowOff>111578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38875" y="3299732"/>
          <a:ext cx="4219575" cy="602796"/>
        </a:xfrm>
        <a:prstGeom prst="rect">
          <a:avLst/>
        </a:prstGeom>
      </xdr:spPr>
    </xdr:pic>
    <xdr:clientData/>
  </xdr:twoCellAnchor>
  <xdr:twoCellAnchor editAs="oneCell">
    <xdr:from>
      <xdr:col>7</xdr:col>
      <xdr:colOff>307082</xdr:colOff>
      <xdr:row>25</xdr:row>
      <xdr:rowOff>42346</xdr:rowOff>
    </xdr:from>
    <xdr:to>
      <xdr:col>14</xdr:col>
      <xdr:colOff>419620</xdr:colOff>
      <xdr:row>31</xdr:row>
      <xdr:rowOff>198782</xdr:rowOff>
    </xdr:to>
    <xdr:pic>
      <xdr:nvPicPr>
        <xdr:cNvPr id="6" name="Imagem 1">
          <a:extLst>
            <a:ext uri="{FF2B5EF4-FFF2-40B4-BE49-F238E27FC236}">
              <a16:creationId xmlns="" xmlns:a16="http://schemas.microsoft.com/office/drawing/2014/main" id="{E3F4DBC1-7AB1-3954-B479-764AB298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36821" y="4589498"/>
          <a:ext cx="4402929" cy="1266306"/>
        </a:xfrm>
        <a:prstGeom prst="rect">
          <a:avLst/>
        </a:prstGeom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2B43E24-C6AF-5FAF-6503-C3F37424CEA5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44"/>
  <sheetViews>
    <sheetView showGridLines="0" tabSelected="1" workbookViewId="0">
      <selection sqref="A1:L1"/>
    </sheetView>
  </sheetViews>
  <sheetFormatPr defaultRowHeight="15" x14ac:dyDescent="0.25"/>
  <cols>
    <col min="1" max="1" width="22" customWidth="1"/>
    <col min="2" max="2" width="2" customWidth="1"/>
    <col min="3" max="3" width="16.5703125" customWidth="1"/>
    <col min="4" max="4" width="2" customWidth="1"/>
    <col min="5" max="5" width="22" customWidth="1"/>
    <col min="6" max="6" width="25" customWidth="1"/>
    <col min="7" max="7" width="3" customWidth="1"/>
    <col min="8" max="8" width="23" customWidth="1"/>
    <col min="9" max="10" width="2" customWidth="1"/>
    <col min="11" max="11" width="16" customWidth="1"/>
    <col min="12" max="12" width="3" customWidth="1"/>
  </cols>
  <sheetData>
    <row r="1" spans="1:12" ht="21.95" customHeight="1" x14ac:dyDescent="0.25">
      <c r="A1" s="50" t="s">
        <v>97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21.95" customHeight="1" x14ac:dyDescent="0.25"/>
    <row r="3" spans="1:12" ht="21.95" customHeight="1" x14ac:dyDescent="0.25">
      <c r="A3" s="47" t="s">
        <v>37</v>
      </c>
      <c r="B3" s="48"/>
      <c r="C3" s="48"/>
      <c r="D3" s="48"/>
      <c r="E3" s="48"/>
      <c r="F3" s="49"/>
      <c r="H3" s="47" t="s">
        <v>38</v>
      </c>
      <c r="I3" s="48"/>
      <c r="J3" s="48"/>
      <c r="K3" s="48"/>
      <c r="L3" s="49"/>
    </row>
    <row r="4" spans="1:12" ht="30" customHeight="1" x14ac:dyDescent="0.25">
      <c r="A4" s="6" t="s">
        <v>39</v>
      </c>
      <c r="C4" s="7">
        <v>1</v>
      </c>
      <c r="E4" s="8" t="s">
        <v>40</v>
      </c>
      <c r="F4" s="2" t="str">
        <f>INDEX(parameters!$A$2:$A$5,$C$4)</f>
        <v>Van der Meer (1988a) - Simple Cubes (Slope 2.0:1)</v>
      </c>
      <c r="H4" s="8" t="s">
        <v>41</v>
      </c>
      <c r="K4" s="19">
        <f>$F$9</f>
        <v>1.5</v>
      </c>
    </row>
    <row r="5" spans="1:12" ht="21.95" customHeight="1" x14ac:dyDescent="0.25">
      <c r="A5" s="6" t="s">
        <v>42</v>
      </c>
      <c r="C5" s="5" t="str">
        <f>INDEX(parameters!$G$2:$G$5,$C$4)</f>
        <v>Cubes</v>
      </c>
      <c r="E5" s="8" t="s">
        <v>7</v>
      </c>
      <c r="F5" s="10">
        <f>INDEX(parameters!$H$2:$H$5,$C$4)</f>
        <v>2</v>
      </c>
      <c r="H5" s="8" t="s">
        <v>43</v>
      </c>
      <c r="K5" s="19">
        <f>$C$28/$K$4</f>
        <v>3.4007129764579305</v>
      </c>
    </row>
    <row r="6" spans="1:12" ht="21.95" customHeight="1" x14ac:dyDescent="0.25">
      <c r="A6" s="6" t="s">
        <v>44</v>
      </c>
      <c r="C6" s="11">
        <v>11</v>
      </c>
      <c r="E6" s="8" t="s">
        <v>45</v>
      </c>
      <c r="F6" s="12">
        <v>0.4</v>
      </c>
      <c r="H6" s="8" t="s">
        <v>46</v>
      </c>
      <c r="K6" s="18">
        <f>$F$18*($K$4^(1/3))</f>
        <v>1.9853103729059276</v>
      </c>
    </row>
    <row r="7" spans="1:12" ht="21.95" customHeight="1" x14ac:dyDescent="0.25">
      <c r="A7" s="6" t="s">
        <v>47</v>
      </c>
      <c r="C7" s="11">
        <v>11.9</v>
      </c>
      <c r="E7" s="8" t="s">
        <v>48</v>
      </c>
      <c r="F7" s="12">
        <v>0.25</v>
      </c>
      <c r="H7" s="8" t="s">
        <v>49</v>
      </c>
      <c r="K7" s="19">
        <f>$C$11*($K$6+1)</f>
        <v>30.002369247704575</v>
      </c>
    </row>
    <row r="8" spans="1:12" ht="21.95" customHeight="1" x14ac:dyDescent="0.25">
      <c r="A8" s="6" t="s">
        <v>50</v>
      </c>
      <c r="C8" s="7">
        <v>3000</v>
      </c>
      <c r="E8" s="8" t="s">
        <v>51</v>
      </c>
      <c r="F8" s="15">
        <v>9.8066499999999994</v>
      </c>
      <c r="H8" s="8" t="s">
        <v>52</v>
      </c>
      <c r="K8" s="18">
        <f>$C$6/($K$6*$C$25)</f>
        <v>1.8946688925579238</v>
      </c>
    </row>
    <row r="9" spans="1:12" ht="21.95" customHeight="1" x14ac:dyDescent="0.25">
      <c r="A9" s="6" t="s">
        <v>53</v>
      </c>
      <c r="C9" s="11">
        <v>0.5</v>
      </c>
      <c r="E9" s="8" t="s">
        <v>54</v>
      </c>
      <c r="F9" s="13">
        <v>1.5</v>
      </c>
      <c r="H9" s="8" t="s">
        <v>55</v>
      </c>
      <c r="K9" s="18">
        <f>$C$25</f>
        <v>2.9243607662581832</v>
      </c>
    </row>
    <row r="10" spans="1:12" ht="21.95" customHeight="1" x14ac:dyDescent="0.25">
      <c r="A10" s="6" t="s">
        <v>56</v>
      </c>
      <c r="C10" s="11">
        <v>27.48</v>
      </c>
      <c r="E10" s="8" t="s">
        <v>57</v>
      </c>
      <c r="F10" s="14">
        <v>26.5</v>
      </c>
      <c r="H10" s="8" t="s">
        <v>58</v>
      </c>
      <c r="K10" s="19">
        <f>$C$26*($K$7/$C$10)</f>
        <v>750.32323937590422</v>
      </c>
    </row>
    <row r="11" spans="1:12" ht="21.95" customHeight="1" x14ac:dyDescent="0.25">
      <c r="A11" s="6" t="s">
        <v>59</v>
      </c>
      <c r="C11" s="11">
        <v>10.050000000000001</v>
      </c>
      <c r="E11" s="8" t="s">
        <v>60</v>
      </c>
      <c r="F11" s="9">
        <f>($C$8*$C$7)/3600</f>
        <v>9.9166666666666661</v>
      </c>
      <c r="H11" s="8" t="s">
        <v>61</v>
      </c>
      <c r="K11" s="19">
        <f>$K$10/$F$8</f>
        <v>76.511677216572863</v>
      </c>
    </row>
    <row r="12" spans="1:12" ht="21.95" customHeight="1" x14ac:dyDescent="0.25">
      <c r="H12" s="8" t="s">
        <v>62</v>
      </c>
      <c r="K12" s="19">
        <f>100*2*1.1*(1-$F$6)/$K$9^2</f>
        <v>15.435191918938528</v>
      </c>
    </row>
    <row r="13" spans="1:12" ht="21.95" customHeight="1" x14ac:dyDescent="0.25">
      <c r="A13" s="47" t="s">
        <v>63</v>
      </c>
      <c r="B13" s="48"/>
      <c r="C13" s="48"/>
      <c r="D13" s="48"/>
      <c r="E13" s="48"/>
      <c r="F13" s="49"/>
      <c r="H13" s="8" t="s">
        <v>64</v>
      </c>
      <c r="K13" s="19">
        <f>$K$10/$K$7</f>
        <v>25.008799577830342</v>
      </c>
    </row>
    <row r="14" spans="1:12" ht="21.95" customHeight="1" x14ac:dyDescent="0.25">
      <c r="A14" s="6" t="s">
        <v>1</v>
      </c>
      <c r="C14" s="18">
        <f>INDEX(parameters!$B$2:$B$5,$C$4)</f>
        <v>7.3743041891979999</v>
      </c>
      <c r="E14" s="8" t="s">
        <v>65</v>
      </c>
      <c r="F14" s="19">
        <f>($F$8*$C$7^2)/(2*PI())</f>
        <v>221.02160585860111</v>
      </c>
      <c r="H14" s="8" t="s">
        <v>66</v>
      </c>
      <c r="K14" s="19">
        <f>($K$13/1.0247)^(1/3)</f>
        <v>2.9006725379460616</v>
      </c>
    </row>
    <row r="15" spans="1:12" ht="21.95" customHeight="1" x14ac:dyDescent="0.25">
      <c r="A15" s="6" t="s">
        <v>2</v>
      </c>
      <c r="C15" s="18">
        <f>INDEX(parameters!$C$2:$C$5,$C$4)</f>
        <v>0.4</v>
      </c>
      <c r="E15" s="8" t="s">
        <v>67</v>
      </c>
      <c r="F15" s="18">
        <f>(2*PI())/$F$14</f>
        <v>2.8427923518025939E-2</v>
      </c>
      <c r="H15" s="8" t="s">
        <v>68</v>
      </c>
      <c r="K15" s="19">
        <f>1.086*$K$14</f>
        <v>3.150130376209423</v>
      </c>
    </row>
    <row r="16" spans="1:12" ht="21.95" customHeight="1" x14ac:dyDescent="0.25">
      <c r="A16" s="6" t="s">
        <v>3</v>
      </c>
      <c r="C16" s="18">
        <f>INDEX(parameters!$D$2:$D$5,$C$4)</f>
        <v>0.3</v>
      </c>
      <c r="E16" s="8" t="s">
        <v>69</v>
      </c>
      <c r="F16" s="18">
        <f>$C$6/$F$14</f>
        <v>4.9768890047053892E-2</v>
      </c>
      <c r="H16" s="8" t="s">
        <v>70</v>
      </c>
      <c r="K16" s="19">
        <f>1.005*$K$14</f>
        <v>2.9151759006357918</v>
      </c>
    </row>
    <row r="17" spans="1:12" ht="21.95" customHeight="1" x14ac:dyDescent="0.25">
      <c r="A17" s="6" t="s">
        <v>4</v>
      </c>
      <c r="C17" s="18">
        <f>INDEX(parameters!$E$2:$E$5,$C$4)</f>
        <v>1.1006424162982089</v>
      </c>
      <c r="E17" s="8" t="s">
        <v>71</v>
      </c>
      <c r="F17" s="18">
        <f>$F$16</f>
        <v>4.9768890047053892E-2</v>
      </c>
    </row>
    <row r="18" spans="1:12" ht="21.95" customHeight="1" x14ac:dyDescent="0.25">
      <c r="A18" s="6" t="s">
        <v>5</v>
      </c>
      <c r="C18" s="18">
        <f>INDEX(parameters!$F$2:$F$5,$C$4)</f>
        <v>0.1</v>
      </c>
      <c r="E18" s="8" t="s">
        <v>72</v>
      </c>
      <c r="F18" s="18">
        <f>($C$10/$C$11)-1</f>
        <v>1.734328358208955</v>
      </c>
      <c r="H18" s="47" t="s">
        <v>73</v>
      </c>
      <c r="I18" s="48"/>
      <c r="J18" s="48"/>
      <c r="K18" s="48"/>
      <c r="L18" s="49"/>
    </row>
    <row r="19" spans="1:12" ht="21.95" customHeight="1" x14ac:dyDescent="0.25">
      <c r="A19" s="6" t="s">
        <v>74</v>
      </c>
      <c r="C19" s="18">
        <f>$C$9^$C$15</f>
        <v>0.75785828325519911</v>
      </c>
      <c r="E19" s="8" t="s">
        <v>75</v>
      </c>
      <c r="F19" s="18">
        <f>$C$8^$C$16</f>
        <v>11.044253752367945</v>
      </c>
      <c r="H19" s="8" t="s">
        <v>76</v>
      </c>
      <c r="K19" s="19">
        <f>$C$26/10</f>
        <v>68.72418123987778</v>
      </c>
    </row>
    <row r="20" spans="1:12" ht="21.95" customHeight="1" x14ac:dyDescent="0.25">
      <c r="A20" s="6" t="s">
        <v>77</v>
      </c>
      <c r="C20" s="18">
        <f>$C$19/$F$19</f>
        <v>6.8620144035780636E-2</v>
      </c>
      <c r="E20" s="8" t="s">
        <v>78</v>
      </c>
      <c r="F20" s="18">
        <f>$C$14*$C$20</f>
        <v>0.50602581562642734</v>
      </c>
      <c r="H20" s="8" t="s">
        <v>79</v>
      </c>
      <c r="K20" s="19">
        <f>($K$19*1000)/$F$8</f>
        <v>7007.916183393696</v>
      </c>
    </row>
    <row r="21" spans="1:12" ht="21.95" customHeight="1" x14ac:dyDescent="0.25">
      <c r="A21" s="6" t="s">
        <v>80</v>
      </c>
      <c r="C21" s="18">
        <f>$F$20+$C$17</f>
        <v>1.6066682319246364</v>
      </c>
      <c r="E21" s="8" t="s">
        <v>81</v>
      </c>
      <c r="F21" s="18">
        <f>$F$16^(-$C$18)</f>
        <v>1.3499081037008629</v>
      </c>
      <c r="H21" s="8" t="s">
        <v>82</v>
      </c>
      <c r="K21" s="18" t="str">
        <f>INDEX(parameters!$J$2:$J$18,parameters!$N$21)</f>
        <v>HMA6000-10000</v>
      </c>
    </row>
    <row r="22" spans="1:12" ht="21.95" customHeight="1" x14ac:dyDescent="0.25">
      <c r="A22" s="6" t="s">
        <v>83</v>
      </c>
      <c r="C22" s="18">
        <f>$C$21*$F$21</f>
        <v>2.1688544662338041</v>
      </c>
      <c r="H22" s="8" t="s">
        <v>84</v>
      </c>
      <c r="K22" s="19">
        <f>INDEX(parameters!$K$2:$K$18,parameters!$N$21)</f>
        <v>6000</v>
      </c>
    </row>
    <row r="23" spans="1:12" ht="21.95" customHeight="1" x14ac:dyDescent="0.25">
      <c r="H23" s="8" t="s">
        <v>85</v>
      </c>
      <c r="K23" s="19">
        <f>INDEX(parameters!$L$2:$L$18,parameters!$N$21)</f>
        <v>10000</v>
      </c>
    </row>
    <row r="24" spans="1:12" ht="21.95" customHeight="1" x14ac:dyDescent="0.25">
      <c r="A24" s="47" t="s">
        <v>86</v>
      </c>
      <c r="B24" s="48"/>
      <c r="C24" s="48"/>
      <c r="D24" s="48"/>
      <c r="E24" s="48"/>
      <c r="F24" s="49"/>
      <c r="H24" s="8" t="s">
        <v>87</v>
      </c>
      <c r="K24" s="19">
        <f>0.5*($K$22+$K$23)</f>
        <v>8000</v>
      </c>
    </row>
    <row r="25" spans="1:12" ht="21.95" customHeight="1" x14ac:dyDescent="0.25">
      <c r="A25" s="8" t="s">
        <v>55</v>
      </c>
      <c r="C25" s="18">
        <f>$C$6/($F$18*$C$22)</f>
        <v>2.9243607662581832</v>
      </c>
      <c r="H25" s="8" t="s">
        <v>88</v>
      </c>
      <c r="K25" s="19">
        <f>0.7*$K$22</f>
        <v>4200</v>
      </c>
    </row>
    <row r="26" spans="1:12" ht="21.95" customHeight="1" x14ac:dyDescent="0.25">
      <c r="A26" s="8" t="s">
        <v>58</v>
      </c>
      <c r="C26" s="19">
        <f>$C$10*$C$25^3</f>
        <v>687.24181239877782</v>
      </c>
      <c r="H26" s="8" t="s">
        <v>89</v>
      </c>
      <c r="K26" s="19">
        <f>1.5*$K$23</f>
        <v>15000</v>
      </c>
    </row>
    <row r="27" spans="1:12" ht="21.95" customHeight="1" x14ac:dyDescent="0.25">
      <c r="A27" s="8" t="s">
        <v>61</v>
      </c>
      <c r="C27" s="19">
        <f>$C$26/$F$8</f>
        <v>70.079161833936951</v>
      </c>
      <c r="H27" s="8" t="s">
        <v>90</v>
      </c>
      <c r="K27" s="19">
        <f>($K$24*$F$8)/1000</f>
        <v>78.453199999999995</v>
      </c>
    </row>
    <row r="28" spans="1:12" ht="21.95" customHeight="1" x14ac:dyDescent="0.25">
      <c r="A28" s="8" t="s">
        <v>91</v>
      </c>
      <c r="C28" s="19">
        <f>($C$10*$C$6^3)/($C$26*$F$18^3*$F$5)</f>
        <v>5.1010694646868959</v>
      </c>
      <c r="H28" s="8" t="s">
        <v>92</v>
      </c>
      <c r="K28" s="18">
        <f>($K$27/$F$10)^(1/3)</f>
        <v>1.4358914060266976</v>
      </c>
    </row>
    <row r="29" spans="1:12" ht="21.95" customHeight="1" x14ac:dyDescent="0.25">
      <c r="A29" s="8" t="s">
        <v>93</v>
      </c>
      <c r="C29" s="19">
        <f>2*1.1*$C$25</f>
        <v>6.4335936857680034</v>
      </c>
      <c r="H29" s="8" t="s">
        <v>94</v>
      </c>
      <c r="K29" s="19">
        <f>2*$K$28</f>
        <v>2.8717828120533953</v>
      </c>
    </row>
    <row r="30" spans="1:12" ht="21.95" customHeight="1" x14ac:dyDescent="0.25">
      <c r="A30" s="8" t="s">
        <v>62</v>
      </c>
      <c r="C30" s="19">
        <f>100*2*1.1*(1-$F$6)/$C$25^2</f>
        <v>15.435191918938528</v>
      </c>
      <c r="H30" s="8" t="s">
        <v>95</v>
      </c>
      <c r="K30" s="19">
        <f>100*2*1*(1-$F$7)/$K$28^2</f>
        <v>72.752524294179509</v>
      </c>
    </row>
    <row r="31" spans="1:12" ht="21.95" customHeight="1" x14ac:dyDescent="0.25">
      <c r="A31" s="8" t="s">
        <v>64</v>
      </c>
      <c r="C31" s="19">
        <f>$C$26/$C$10</f>
        <v>25.008799577830342</v>
      </c>
    </row>
    <row r="32" spans="1:12" ht="21.95" customHeight="1" x14ac:dyDescent="0.25">
      <c r="A32" s="8" t="s">
        <v>66</v>
      </c>
      <c r="C32" s="19">
        <f>($C$31/1.0247)^(1/3)</f>
        <v>2.9006725379460616</v>
      </c>
      <c r="H32" s="47" t="s">
        <v>96</v>
      </c>
      <c r="I32" s="48"/>
      <c r="J32" s="48"/>
      <c r="K32" s="48"/>
      <c r="L32" s="49"/>
    </row>
    <row r="33" spans="1:11" ht="21.95" customHeight="1" x14ac:dyDescent="0.25">
      <c r="A33" s="8" t="s">
        <v>68</v>
      </c>
      <c r="C33" s="19">
        <f>1.086*$C$32</f>
        <v>3.150130376209423</v>
      </c>
      <c r="H33" s="8" t="s">
        <v>76</v>
      </c>
      <c r="K33" s="19">
        <f>$K$10/10</f>
        <v>75.032323937590419</v>
      </c>
    </row>
    <row r="34" spans="1:11" ht="21.95" customHeight="1" x14ac:dyDescent="0.25">
      <c r="A34" s="8" t="s">
        <v>70</v>
      </c>
      <c r="C34" s="19">
        <f>1.005*$C$32</f>
        <v>2.9151759006357918</v>
      </c>
      <c r="H34" s="8" t="s">
        <v>79</v>
      </c>
      <c r="K34" s="19">
        <f>($K$33*1000)/$F$8</f>
        <v>7651.1677216572862</v>
      </c>
    </row>
    <row r="35" spans="1:11" ht="21.95" customHeight="1" x14ac:dyDescent="0.25">
      <c r="H35" s="8" t="s">
        <v>82</v>
      </c>
      <c r="K35" s="18" t="str">
        <f>INDEX(parameters!$J$2:$J$18,parameters!$O$21)</f>
        <v>HMA6000-10000</v>
      </c>
    </row>
    <row r="36" spans="1:11" ht="21.95" customHeight="1" x14ac:dyDescent="0.25">
      <c r="H36" s="8" t="s">
        <v>84</v>
      </c>
      <c r="K36" s="19">
        <f>INDEX(parameters!$K$2:$K$18,parameters!$O$21)</f>
        <v>6000</v>
      </c>
    </row>
    <row r="37" spans="1:11" ht="21.95" customHeight="1" x14ac:dyDescent="0.25">
      <c r="H37" s="8" t="s">
        <v>85</v>
      </c>
      <c r="K37" s="19">
        <f>INDEX(parameters!$L$2:$L$18,parameters!$O$21)</f>
        <v>10000</v>
      </c>
    </row>
    <row r="38" spans="1:11" ht="21.95" customHeight="1" x14ac:dyDescent="0.25">
      <c r="H38" s="8" t="s">
        <v>87</v>
      </c>
      <c r="K38" s="19">
        <f>0.5*($K$36+$K$37)</f>
        <v>8000</v>
      </c>
    </row>
    <row r="39" spans="1:11" ht="21.95" customHeight="1" x14ac:dyDescent="0.25">
      <c r="H39" s="8" t="s">
        <v>88</v>
      </c>
      <c r="K39" s="19">
        <f>0.7*$K$36</f>
        <v>4200</v>
      </c>
    </row>
    <row r="40" spans="1:11" ht="21.95" customHeight="1" x14ac:dyDescent="0.25">
      <c r="H40" s="8" t="s">
        <v>89</v>
      </c>
      <c r="K40" s="19">
        <f>1.5*$K$37</f>
        <v>15000</v>
      </c>
    </row>
    <row r="41" spans="1:11" ht="21.95" customHeight="1" x14ac:dyDescent="0.25">
      <c r="H41" s="8" t="s">
        <v>90</v>
      </c>
      <c r="K41" s="19">
        <f>($K$38*$F$8)/1000</f>
        <v>78.453199999999995</v>
      </c>
    </row>
    <row r="42" spans="1:11" ht="21.95" customHeight="1" x14ac:dyDescent="0.25">
      <c r="H42" s="8" t="s">
        <v>92</v>
      </c>
      <c r="K42" s="18">
        <f>($K$41/$F$10)^(1/3)</f>
        <v>1.4358914060266976</v>
      </c>
    </row>
    <row r="43" spans="1:11" ht="21.95" customHeight="1" x14ac:dyDescent="0.25">
      <c r="H43" s="8" t="s">
        <v>94</v>
      </c>
      <c r="K43" s="19">
        <f>2*$K$42</f>
        <v>2.8717828120533953</v>
      </c>
    </row>
    <row r="44" spans="1:11" ht="21.95" customHeight="1" x14ac:dyDescent="0.25">
      <c r="H44" s="8" t="s">
        <v>95</v>
      </c>
      <c r="K44" s="19">
        <f>100*2*1*(1-$F$7)/$K$42^2</f>
        <v>72.752524294179509</v>
      </c>
    </row>
  </sheetData>
  <mergeCells count="7">
    <mergeCell ref="A24:F24"/>
    <mergeCell ref="H3:L3"/>
    <mergeCell ref="A13:F13"/>
    <mergeCell ref="A1:L1"/>
    <mergeCell ref="H32:L32"/>
    <mergeCell ref="H18:L18"/>
    <mergeCell ref="A3:F3"/>
  </mergeCells>
  <dataValidations count="1">
    <dataValidation type="whole" error="Formula ID must be an integer from 1 to 4." sqref="C4">
      <formula1>1</formula1>
      <formula2>4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8" scale="9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showGridLines="0" zoomScale="115" zoomScaleNormal="115" workbookViewId="0">
      <selection sqref="A1:G1"/>
    </sheetView>
  </sheetViews>
  <sheetFormatPr defaultColWidth="9.140625" defaultRowHeight="12.75" x14ac:dyDescent="0.2"/>
  <cols>
    <col min="1" max="1" width="17.140625" style="20" customWidth="1"/>
    <col min="2" max="2" width="1.7109375" style="20" customWidth="1"/>
    <col min="3" max="3" width="11.7109375" style="20" customWidth="1"/>
    <col min="4" max="4" width="4.7109375" style="20" customWidth="1"/>
    <col min="5" max="5" width="22.5703125" style="20" customWidth="1"/>
    <col min="6" max="6" width="12.140625" style="20" customWidth="1"/>
    <col min="7" max="7" width="20.42578125" style="20" customWidth="1"/>
    <col min="8" max="245" width="9.140625" style="20"/>
    <col min="246" max="246" width="9.28515625" style="20" customWidth="1"/>
    <col min="247" max="247" width="17.140625" style="20" customWidth="1"/>
    <col min="248" max="248" width="1.7109375" style="20" customWidth="1"/>
    <col min="249" max="249" width="7.42578125" style="20" customWidth="1"/>
    <col min="250" max="250" width="4.7109375" style="20" customWidth="1"/>
    <col min="251" max="251" width="16.42578125" style="20" customWidth="1"/>
    <col min="252" max="252" width="9.5703125" style="20" customWidth="1"/>
    <col min="253" max="501" width="9.140625" style="20"/>
    <col min="502" max="502" width="9.28515625" style="20" customWidth="1"/>
    <col min="503" max="503" width="17.140625" style="20" customWidth="1"/>
    <col min="504" max="504" width="1.7109375" style="20" customWidth="1"/>
    <col min="505" max="505" width="7.42578125" style="20" customWidth="1"/>
    <col min="506" max="506" width="4.7109375" style="20" customWidth="1"/>
    <col min="507" max="507" width="16.42578125" style="20" customWidth="1"/>
    <col min="508" max="508" width="9.5703125" style="20" customWidth="1"/>
    <col min="509" max="757" width="9.140625" style="20"/>
    <col min="758" max="758" width="9.28515625" style="20" customWidth="1"/>
    <col min="759" max="759" width="17.140625" style="20" customWidth="1"/>
    <col min="760" max="760" width="1.7109375" style="20" customWidth="1"/>
    <col min="761" max="761" width="7.42578125" style="20" customWidth="1"/>
    <col min="762" max="762" width="4.7109375" style="20" customWidth="1"/>
    <col min="763" max="763" width="16.42578125" style="20" customWidth="1"/>
    <col min="764" max="764" width="9.5703125" style="20" customWidth="1"/>
    <col min="765" max="1013" width="9.140625" style="20"/>
    <col min="1014" max="1014" width="9.28515625" style="20" customWidth="1"/>
    <col min="1015" max="1015" width="17.140625" style="20" customWidth="1"/>
    <col min="1016" max="1016" width="1.7109375" style="20" customWidth="1"/>
    <col min="1017" max="1017" width="7.42578125" style="20" customWidth="1"/>
    <col min="1018" max="1018" width="4.7109375" style="20" customWidth="1"/>
    <col min="1019" max="1019" width="16.42578125" style="20" customWidth="1"/>
    <col min="1020" max="1020" width="9.5703125" style="20" customWidth="1"/>
    <col min="1021" max="1269" width="9.140625" style="20"/>
    <col min="1270" max="1270" width="9.28515625" style="20" customWidth="1"/>
    <col min="1271" max="1271" width="17.140625" style="20" customWidth="1"/>
    <col min="1272" max="1272" width="1.7109375" style="20" customWidth="1"/>
    <col min="1273" max="1273" width="7.42578125" style="20" customWidth="1"/>
    <col min="1274" max="1274" width="4.7109375" style="20" customWidth="1"/>
    <col min="1275" max="1275" width="16.42578125" style="20" customWidth="1"/>
    <col min="1276" max="1276" width="9.5703125" style="20" customWidth="1"/>
    <col min="1277" max="1525" width="9.140625" style="20"/>
    <col min="1526" max="1526" width="9.28515625" style="20" customWidth="1"/>
    <col min="1527" max="1527" width="17.140625" style="20" customWidth="1"/>
    <col min="1528" max="1528" width="1.7109375" style="20" customWidth="1"/>
    <col min="1529" max="1529" width="7.42578125" style="20" customWidth="1"/>
    <col min="1530" max="1530" width="4.7109375" style="20" customWidth="1"/>
    <col min="1531" max="1531" width="16.42578125" style="20" customWidth="1"/>
    <col min="1532" max="1532" width="9.5703125" style="20" customWidth="1"/>
    <col min="1533" max="1781" width="9.140625" style="20"/>
    <col min="1782" max="1782" width="9.28515625" style="20" customWidth="1"/>
    <col min="1783" max="1783" width="17.140625" style="20" customWidth="1"/>
    <col min="1784" max="1784" width="1.7109375" style="20" customWidth="1"/>
    <col min="1785" max="1785" width="7.42578125" style="20" customWidth="1"/>
    <col min="1786" max="1786" width="4.7109375" style="20" customWidth="1"/>
    <col min="1787" max="1787" width="16.42578125" style="20" customWidth="1"/>
    <col min="1788" max="1788" width="9.5703125" style="20" customWidth="1"/>
    <col min="1789" max="2037" width="9.140625" style="20"/>
    <col min="2038" max="2038" width="9.28515625" style="20" customWidth="1"/>
    <col min="2039" max="2039" width="17.140625" style="20" customWidth="1"/>
    <col min="2040" max="2040" width="1.7109375" style="20" customWidth="1"/>
    <col min="2041" max="2041" width="7.42578125" style="20" customWidth="1"/>
    <col min="2042" max="2042" width="4.7109375" style="20" customWidth="1"/>
    <col min="2043" max="2043" width="16.42578125" style="20" customWidth="1"/>
    <col min="2044" max="2044" width="9.5703125" style="20" customWidth="1"/>
    <col min="2045" max="2293" width="9.140625" style="20"/>
    <col min="2294" max="2294" width="9.28515625" style="20" customWidth="1"/>
    <col min="2295" max="2295" width="17.140625" style="20" customWidth="1"/>
    <col min="2296" max="2296" width="1.7109375" style="20" customWidth="1"/>
    <col min="2297" max="2297" width="7.42578125" style="20" customWidth="1"/>
    <col min="2298" max="2298" width="4.7109375" style="20" customWidth="1"/>
    <col min="2299" max="2299" width="16.42578125" style="20" customWidth="1"/>
    <col min="2300" max="2300" width="9.5703125" style="20" customWidth="1"/>
    <col min="2301" max="2549" width="9.140625" style="20"/>
    <col min="2550" max="2550" width="9.28515625" style="20" customWidth="1"/>
    <col min="2551" max="2551" width="17.140625" style="20" customWidth="1"/>
    <col min="2552" max="2552" width="1.7109375" style="20" customWidth="1"/>
    <col min="2553" max="2553" width="7.42578125" style="20" customWidth="1"/>
    <col min="2554" max="2554" width="4.7109375" style="20" customWidth="1"/>
    <col min="2555" max="2555" width="16.42578125" style="20" customWidth="1"/>
    <col min="2556" max="2556" width="9.5703125" style="20" customWidth="1"/>
    <col min="2557" max="2805" width="9.140625" style="20"/>
    <col min="2806" max="2806" width="9.28515625" style="20" customWidth="1"/>
    <col min="2807" max="2807" width="17.140625" style="20" customWidth="1"/>
    <col min="2808" max="2808" width="1.7109375" style="20" customWidth="1"/>
    <col min="2809" max="2809" width="7.42578125" style="20" customWidth="1"/>
    <col min="2810" max="2810" width="4.7109375" style="20" customWidth="1"/>
    <col min="2811" max="2811" width="16.42578125" style="20" customWidth="1"/>
    <col min="2812" max="2812" width="9.5703125" style="20" customWidth="1"/>
    <col min="2813" max="3061" width="9.140625" style="20"/>
    <col min="3062" max="3062" width="9.28515625" style="20" customWidth="1"/>
    <col min="3063" max="3063" width="17.140625" style="20" customWidth="1"/>
    <col min="3064" max="3064" width="1.7109375" style="20" customWidth="1"/>
    <col min="3065" max="3065" width="7.42578125" style="20" customWidth="1"/>
    <col min="3066" max="3066" width="4.7109375" style="20" customWidth="1"/>
    <col min="3067" max="3067" width="16.42578125" style="20" customWidth="1"/>
    <col min="3068" max="3068" width="9.5703125" style="20" customWidth="1"/>
    <col min="3069" max="3317" width="9.140625" style="20"/>
    <col min="3318" max="3318" width="9.28515625" style="20" customWidth="1"/>
    <col min="3319" max="3319" width="17.140625" style="20" customWidth="1"/>
    <col min="3320" max="3320" width="1.7109375" style="20" customWidth="1"/>
    <col min="3321" max="3321" width="7.42578125" style="20" customWidth="1"/>
    <col min="3322" max="3322" width="4.7109375" style="20" customWidth="1"/>
    <col min="3323" max="3323" width="16.42578125" style="20" customWidth="1"/>
    <col min="3324" max="3324" width="9.5703125" style="20" customWidth="1"/>
    <col min="3325" max="3573" width="9.140625" style="20"/>
    <col min="3574" max="3574" width="9.28515625" style="20" customWidth="1"/>
    <col min="3575" max="3575" width="17.140625" style="20" customWidth="1"/>
    <col min="3576" max="3576" width="1.7109375" style="20" customWidth="1"/>
    <col min="3577" max="3577" width="7.42578125" style="20" customWidth="1"/>
    <col min="3578" max="3578" width="4.7109375" style="20" customWidth="1"/>
    <col min="3579" max="3579" width="16.42578125" style="20" customWidth="1"/>
    <col min="3580" max="3580" width="9.5703125" style="20" customWidth="1"/>
    <col min="3581" max="3829" width="9.140625" style="20"/>
    <col min="3830" max="3830" width="9.28515625" style="20" customWidth="1"/>
    <col min="3831" max="3831" width="17.140625" style="20" customWidth="1"/>
    <col min="3832" max="3832" width="1.7109375" style="20" customWidth="1"/>
    <col min="3833" max="3833" width="7.42578125" style="20" customWidth="1"/>
    <col min="3834" max="3834" width="4.7109375" style="20" customWidth="1"/>
    <col min="3835" max="3835" width="16.42578125" style="20" customWidth="1"/>
    <col min="3836" max="3836" width="9.5703125" style="20" customWidth="1"/>
    <col min="3837" max="4085" width="9.140625" style="20"/>
    <col min="4086" max="4086" width="9.28515625" style="20" customWidth="1"/>
    <col min="4087" max="4087" width="17.140625" style="20" customWidth="1"/>
    <col min="4088" max="4088" width="1.7109375" style="20" customWidth="1"/>
    <col min="4089" max="4089" width="7.42578125" style="20" customWidth="1"/>
    <col min="4090" max="4090" width="4.7109375" style="20" customWidth="1"/>
    <col min="4091" max="4091" width="16.42578125" style="20" customWidth="1"/>
    <col min="4092" max="4092" width="9.5703125" style="20" customWidth="1"/>
    <col min="4093" max="4341" width="9.140625" style="20"/>
    <col min="4342" max="4342" width="9.28515625" style="20" customWidth="1"/>
    <col min="4343" max="4343" width="17.140625" style="20" customWidth="1"/>
    <col min="4344" max="4344" width="1.7109375" style="20" customWidth="1"/>
    <col min="4345" max="4345" width="7.42578125" style="20" customWidth="1"/>
    <col min="4346" max="4346" width="4.7109375" style="20" customWidth="1"/>
    <col min="4347" max="4347" width="16.42578125" style="20" customWidth="1"/>
    <col min="4348" max="4348" width="9.5703125" style="20" customWidth="1"/>
    <col min="4349" max="4597" width="9.140625" style="20"/>
    <col min="4598" max="4598" width="9.28515625" style="20" customWidth="1"/>
    <col min="4599" max="4599" width="17.140625" style="20" customWidth="1"/>
    <col min="4600" max="4600" width="1.7109375" style="20" customWidth="1"/>
    <col min="4601" max="4601" width="7.42578125" style="20" customWidth="1"/>
    <col min="4602" max="4602" width="4.7109375" style="20" customWidth="1"/>
    <col min="4603" max="4603" width="16.42578125" style="20" customWidth="1"/>
    <col min="4604" max="4604" width="9.5703125" style="20" customWidth="1"/>
    <col min="4605" max="4853" width="9.140625" style="20"/>
    <col min="4854" max="4854" width="9.28515625" style="20" customWidth="1"/>
    <col min="4855" max="4855" width="17.140625" style="20" customWidth="1"/>
    <col min="4856" max="4856" width="1.7109375" style="20" customWidth="1"/>
    <col min="4857" max="4857" width="7.42578125" style="20" customWidth="1"/>
    <col min="4858" max="4858" width="4.7109375" style="20" customWidth="1"/>
    <col min="4859" max="4859" width="16.42578125" style="20" customWidth="1"/>
    <col min="4860" max="4860" width="9.5703125" style="20" customWidth="1"/>
    <col min="4861" max="5109" width="9.140625" style="20"/>
    <col min="5110" max="5110" width="9.28515625" style="20" customWidth="1"/>
    <col min="5111" max="5111" width="17.140625" style="20" customWidth="1"/>
    <col min="5112" max="5112" width="1.7109375" style="20" customWidth="1"/>
    <col min="5113" max="5113" width="7.42578125" style="20" customWidth="1"/>
    <col min="5114" max="5114" width="4.7109375" style="20" customWidth="1"/>
    <col min="5115" max="5115" width="16.42578125" style="20" customWidth="1"/>
    <col min="5116" max="5116" width="9.5703125" style="20" customWidth="1"/>
    <col min="5117" max="5365" width="9.140625" style="20"/>
    <col min="5366" max="5366" width="9.28515625" style="20" customWidth="1"/>
    <col min="5367" max="5367" width="17.140625" style="20" customWidth="1"/>
    <col min="5368" max="5368" width="1.7109375" style="20" customWidth="1"/>
    <col min="5369" max="5369" width="7.42578125" style="20" customWidth="1"/>
    <col min="5370" max="5370" width="4.7109375" style="20" customWidth="1"/>
    <col min="5371" max="5371" width="16.42578125" style="20" customWidth="1"/>
    <col min="5372" max="5372" width="9.5703125" style="20" customWidth="1"/>
    <col min="5373" max="5621" width="9.140625" style="20"/>
    <col min="5622" max="5622" width="9.28515625" style="20" customWidth="1"/>
    <col min="5623" max="5623" width="17.140625" style="20" customWidth="1"/>
    <col min="5624" max="5624" width="1.7109375" style="20" customWidth="1"/>
    <col min="5625" max="5625" width="7.42578125" style="20" customWidth="1"/>
    <col min="5626" max="5626" width="4.7109375" style="20" customWidth="1"/>
    <col min="5627" max="5627" width="16.42578125" style="20" customWidth="1"/>
    <col min="5628" max="5628" width="9.5703125" style="20" customWidth="1"/>
    <col min="5629" max="5877" width="9.140625" style="20"/>
    <col min="5878" max="5878" width="9.28515625" style="20" customWidth="1"/>
    <col min="5879" max="5879" width="17.140625" style="20" customWidth="1"/>
    <col min="5880" max="5880" width="1.7109375" style="20" customWidth="1"/>
    <col min="5881" max="5881" width="7.42578125" style="20" customWidth="1"/>
    <col min="5882" max="5882" width="4.7109375" style="20" customWidth="1"/>
    <col min="5883" max="5883" width="16.42578125" style="20" customWidth="1"/>
    <col min="5884" max="5884" width="9.5703125" style="20" customWidth="1"/>
    <col min="5885" max="6133" width="9.140625" style="20"/>
    <col min="6134" max="6134" width="9.28515625" style="20" customWidth="1"/>
    <col min="6135" max="6135" width="17.140625" style="20" customWidth="1"/>
    <col min="6136" max="6136" width="1.7109375" style="20" customWidth="1"/>
    <col min="6137" max="6137" width="7.42578125" style="20" customWidth="1"/>
    <col min="6138" max="6138" width="4.7109375" style="20" customWidth="1"/>
    <col min="6139" max="6139" width="16.42578125" style="20" customWidth="1"/>
    <col min="6140" max="6140" width="9.5703125" style="20" customWidth="1"/>
    <col min="6141" max="6389" width="9.140625" style="20"/>
    <col min="6390" max="6390" width="9.28515625" style="20" customWidth="1"/>
    <col min="6391" max="6391" width="17.140625" style="20" customWidth="1"/>
    <col min="6392" max="6392" width="1.7109375" style="20" customWidth="1"/>
    <col min="6393" max="6393" width="7.42578125" style="20" customWidth="1"/>
    <col min="6394" max="6394" width="4.7109375" style="20" customWidth="1"/>
    <col min="6395" max="6395" width="16.42578125" style="20" customWidth="1"/>
    <col min="6396" max="6396" width="9.5703125" style="20" customWidth="1"/>
    <col min="6397" max="6645" width="9.140625" style="20"/>
    <col min="6646" max="6646" width="9.28515625" style="20" customWidth="1"/>
    <col min="6647" max="6647" width="17.140625" style="20" customWidth="1"/>
    <col min="6648" max="6648" width="1.7109375" style="20" customWidth="1"/>
    <col min="6649" max="6649" width="7.42578125" style="20" customWidth="1"/>
    <col min="6650" max="6650" width="4.7109375" style="20" customWidth="1"/>
    <col min="6651" max="6651" width="16.42578125" style="20" customWidth="1"/>
    <col min="6652" max="6652" width="9.5703125" style="20" customWidth="1"/>
    <col min="6653" max="6901" width="9.140625" style="20"/>
    <col min="6902" max="6902" width="9.28515625" style="20" customWidth="1"/>
    <col min="6903" max="6903" width="17.140625" style="20" customWidth="1"/>
    <col min="6904" max="6904" width="1.7109375" style="20" customWidth="1"/>
    <col min="6905" max="6905" width="7.42578125" style="20" customWidth="1"/>
    <col min="6906" max="6906" width="4.7109375" style="20" customWidth="1"/>
    <col min="6907" max="6907" width="16.42578125" style="20" customWidth="1"/>
    <col min="6908" max="6908" width="9.5703125" style="20" customWidth="1"/>
    <col min="6909" max="7157" width="9.140625" style="20"/>
    <col min="7158" max="7158" width="9.28515625" style="20" customWidth="1"/>
    <col min="7159" max="7159" width="17.140625" style="20" customWidth="1"/>
    <col min="7160" max="7160" width="1.7109375" style="20" customWidth="1"/>
    <col min="7161" max="7161" width="7.42578125" style="20" customWidth="1"/>
    <col min="7162" max="7162" width="4.7109375" style="20" customWidth="1"/>
    <col min="7163" max="7163" width="16.42578125" style="20" customWidth="1"/>
    <col min="7164" max="7164" width="9.5703125" style="20" customWidth="1"/>
    <col min="7165" max="7413" width="9.140625" style="20"/>
    <col min="7414" max="7414" width="9.28515625" style="20" customWidth="1"/>
    <col min="7415" max="7415" width="17.140625" style="20" customWidth="1"/>
    <col min="7416" max="7416" width="1.7109375" style="20" customWidth="1"/>
    <col min="7417" max="7417" width="7.42578125" style="20" customWidth="1"/>
    <col min="7418" max="7418" width="4.7109375" style="20" customWidth="1"/>
    <col min="7419" max="7419" width="16.42578125" style="20" customWidth="1"/>
    <col min="7420" max="7420" width="9.5703125" style="20" customWidth="1"/>
    <col min="7421" max="7669" width="9.140625" style="20"/>
    <col min="7670" max="7670" width="9.28515625" style="20" customWidth="1"/>
    <col min="7671" max="7671" width="17.140625" style="20" customWidth="1"/>
    <col min="7672" max="7672" width="1.7109375" style="20" customWidth="1"/>
    <col min="7673" max="7673" width="7.42578125" style="20" customWidth="1"/>
    <col min="7674" max="7674" width="4.7109375" style="20" customWidth="1"/>
    <col min="7675" max="7675" width="16.42578125" style="20" customWidth="1"/>
    <col min="7676" max="7676" width="9.5703125" style="20" customWidth="1"/>
    <col min="7677" max="7925" width="9.140625" style="20"/>
    <col min="7926" max="7926" width="9.28515625" style="20" customWidth="1"/>
    <col min="7927" max="7927" width="17.140625" style="20" customWidth="1"/>
    <col min="7928" max="7928" width="1.7109375" style="20" customWidth="1"/>
    <col min="7929" max="7929" width="7.42578125" style="20" customWidth="1"/>
    <col min="7930" max="7930" width="4.7109375" style="20" customWidth="1"/>
    <col min="7931" max="7931" width="16.42578125" style="20" customWidth="1"/>
    <col min="7932" max="7932" width="9.5703125" style="20" customWidth="1"/>
    <col min="7933" max="8181" width="9.140625" style="20"/>
    <col min="8182" max="8182" width="9.28515625" style="20" customWidth="1"/>
    <col min="8183" max="8183" width="17.140625" style="20" customWidth="1"/>
    <col min="8184" max="8184" width="1.7109375" style="20" customWidth="1"/>
    <col min="8185" max="8185" width="7.42578125" style="20" customWidth="1"/>
    <col min="8186" max="8186" width="4.7109375" style="20" customWidth="1"/>
    <col min="8187" max="8187" width="16.42578125" style="20" customWidth="1"/>
    <col min="8188" max="8188" width="9.5703125" style="20" customWidth="1"/>
    <col min="8189" max="8437" width="9.140625" style="20"/>
    <col min="8438" max="8438" width="9.28515625" style="20" customWidth="1"/>
    <col min="8439" max="8439" width="17.140625" style="20" customWidth="1"/>
    <col min="8440" max="8440" width="1.7109375" style="20" customWidth="1"/>
    <col min="8441" max="8441" width="7.42578125" style="20" customWidth="1"/>
    <col min="8442" max="8442" width="4.7109375" style="20" customWidth="1"/>
    <col min="8443" max="8443" width="16.42578125" style="20" customWidth="1"/>
    <col min="8444" max="8444" width="9.5703125" style="20" customWidth="1"/>
    <col min="8445" max="8693" width="9.140625" style="20"/>
    <col min="8694" max="8694" width="9.28515625" style="20" customWidth="1"/>
    <col min="8695" max="8695" width="17.140625" style="20" customWidth="1"/>
    <col min="8696" max="8696" width="1.7109375" style="20" customWidth="1"/>
    <col min="8697" max="8697" width="7.42578125" style="20" customWidth="1"/>
    <col min="8698" max="8698" width="4.7109375" style="20" customWidth="1"/>
    <col min="8699" max="8699" width="16.42578125" style="20" customWidth="1"/>
    <col min="8700" max="8700" width="9.5703125" style="20" customWidth="1"/>
    <col min="8701" max="8949" width="9.140625" style="20"/>
    <col min="8950" max="8950" width="9.28515625" style="20" customWidth="1"/>
    <col min="8951" max="8951" width="17.140625" style="20" customWidth="1"/>
    <col min="8952" max="8952" width="1.7109375" style="20" customWidth="1"/>
    <col min="8953" max="8953" width="7.42578125" style="20" customWidth="1"/>
    <col min="8954" max="8954" width="4.7109375" style="20" customWidth="1"/>
    <col min="8955" max="8955" width="16.42578125" style="20" customWidth="1"/>
    <col min="8956" max="8956" width="9.5703125" style="20" customWidth="1"/>
    <col min="8957" max="9205" width="9.140625" style="20"/>
    <col min="9206" max="9206" width="9.28515625" style="20" customWidth="1"/>
    <col min="9207" max="9207" width="17.140625" style="20" customWidth="1"/>
    <col min="9208" max="9208" width="1.7109375" style="20" customWidth="1"/>
    <col min="9209" max="9209" width="7.42578125" style="20" customWidth="1"/>
    <col min="9210" max="9210" width="4.7109375" style="20" customWidth="1"/>
    <col min="9211" max="9211" width="16.42578125" style="20" customWidth="1"/>
    <col min="9212" max="9212" width="9.5703125" style="20" customWidth="1"/>
    <col min="9213" max="9461" width="9.140625" style="20"/>
    <col min="9462" max="9462" width="9.28515625" style="20" customWidth="1"/>
    <col min="9463" max="9463" width="17.140625" style="20" customWidth="1"/>
    <col min="9464" max="9464" width="1.7109375" style="20" customWidth="1"/>
    <col min="9465" max="9465" width="7.42578125" style="20" customWidth="1"/>
    <col min="9466" max="9466" width="4.7109375" style="20" customWidth="1"/>
    <col min="9467" max="9467" width="16.42578125" style="20" customWidth="1"/>
    <col min="9468" max="9468" width="9.5703125" style="20" customWidth="1"/>
    <col min="9469" max="9717" width="9.140625" style="20"/>
    <col min="9718" max="9718" width="9.28515625" style="20" customWidth="1"/>
    <col min="9719" max="9719" width="17.140625" style="20" customWidth="1"/>
    <col min="9720" max="9720" width="1.7109375" style="20" customWidth="1"/>
    <col min="9721" max="9721" width="7.42578125" style="20" customWidth="1"/>
    <col min="9722" max="9722" width="4.7109375" style="20" customWidth="1"/>
    <col min="9723" max="9723" width="16.42578125" style="20" customWidth="1"/>
    <col min="9724" max="9724" width="9.5703125" style="20" customWidth="1"/>
    <col min="9725" max="9973" width="9.140625" style="20"/>
    <col min="9974" max="9974" width="9.28515625" style="20" customWidth="1"/>
    <col min="9975" max="9975" width="17.140625" style="20" customWidth="1"/>
    <col min="9976" max="9976" width="1.7109375" style="20" customWidth="1"/>
    <col min="9977" max="9977" width="7.42578125" style="20" customWidth="1"/>
    <col min="9978" max="9978" width="4.7109375" style="20" customWidth="1"/>
    <col min="9979" max="9979" width="16.42578125" style="20" customWidth="1"/>
    <col min="9980" max="9980" width="9.5703125" style="20" customWidth="1"/>
    <col min="9981" max="10229" width="9.140625" style="20"/>
    <col min="10230" max="10230" width="9.28515625" style="20" customWidth="1"/>
    <col min="10231" max="10231" width="17.140625" style="20" customWidth="1"/>
    <col min="10232" max="10232" width="1.7109375" style="20" customWidth="1"/>
    <col min="10233" max="10233" width="7.42578125" style="20" customWidth="1"/>
    <col min="10234" max="10234" width="4.7109375" style="20" customWidth="1"/>
    <col min="10235" max="10235" width="16.42578125" style="20" customWidth="1"/>
    <col min="10236" max="10236" width="9.5703125" style="20" customWidth="1"/>
    <col min="10237" max="10485" width="9.140625" style="20"/>
    <col min="10486" max="10486" width="9.28515625" style="20" customWidth="1"/>
    <col min="10487" max="10487" width="17.140625" style="20" customWidth="1"/>
    <col min="10488" max="10488" width="1.7109375" style="20" customWidth="1"/>
    <col min="10489" max="10489" width="7.42578125" style="20" customWidth="1"/>
    <col min="10490" max="10490" width="4.7109375" style="20" customWidth="1"/>
    <col min="10491" max="10491" width="16.42578125" style="20" customWidth="1"/>
    <col min="10492" max="10492" width="9.5703125" style="20" customWidth="1"/>
    <col min="10493" max="10741" width="9.140625" style="20"/>
    <col min="10742" max="10742" width="9.28515625" style="20" customWidth="1"/>
    <col min="10743" max="10743" width="17.140625" style="20" customWidth="1"/>
    <col min="10744" max="10744" width="1.7109375" style="20" customWidth="1"/>
    <col min="10745" max="10745" width="7.42578125" style="20" customWidth="1"/>
    <col min="10746" max="10746" width="4.7109375" style="20" customWidth="1"/>
    <col min="10747" max="10747" width="16.42578125" style="20" customWidth="1"/>
    <col min="10748" max="10748" width="9.5703125" style="20" customWidth="1"/>
    <col min="10749" max="10997" width="9.140625" style="20"/>
    <col min="10998" max="10998" width="9.28515625" style="20" customWidth="1"/>
    <col min="10999" max="10999" width="17.140625" style="20" customWidth="1"/>
    <col min="11000" max="11000" width="1.7109375" style="20" customWidth="1"/>
    <col min="11001" max="11001" width="7.42578125" style="20" customWidth="1"/>
    <col min="11002" max="11002" width="4.7109375" style="20" customWidth="1"/>
    <col min="11003" max="11003" width="16.42578125" style="20" customWidth="1"/>
    <col min="11004" max="11004" width="9.5703125" style="20" customWidth="1"/>
    <col min="11005" max="11253" width="9.140625" style="20"/>
    <col min="11254" max="11254" width="9.28515625" style="20" customWidth="1"/>
    <col min="11255" max="11255" width="17.140625" style="20" customWidth="1"/>
    <col min="11256" max="11256" width="1.7109375" style="20" customWidth="1"/>
    <col min="11257" max="11257" width="7.42578125" style="20" customWidth="1"/>
    <col min="11258" max="11258" width="4.7109375" style="20" customWidth="1"/>
    <col min="11259" max="11259" width="16.42578125" style="20" customWidth="1"/>
    <col min="11260" max="11260" width="9.5703125" style="20" customWidth="1"/>
    <col min="11261" max="11509" width="9.140625" style="20"/>
    <col min="11510" max="11510" width="9.28515625" style="20" customWidth="1"/>
    <col min="11511" max="11511" width="17.140625" style="20" customWidth="1"/>
    <col min="11512" max="11512" width="1.7109375" style="20" customWidth="1"/>
    <col min="11513" max="11513" width="7.42578125" style="20" customWidth="1"/>
    <col min="11514" max="11514" width="4.7109375" style="20" customWidth="1"/>
    <col min="11515" max="11515" width="16.42578125" style="20" customWidth="1"/>
    <col min="11516" max="11516" width="9.5703125" style="20" customWidth="1"/>
    <col min="11517" max="11765" width="9.140625" style="20"/>
    <col min="11766" max="11766" width="9.28515625" style="20" customWidth="1"/>
    <col min="11767" max="11767" width="17.140625" style="20" customWidth="1"/>
    <col min="11768" max="11768" width="1.7109375" style="20" customWidth="1"/>
    <col min="11769" max="11769" width="7.42578125" style="20" customWidth="1"/>
    <col min="11770" max="11770" width="4.7109375" style="20" customWidth="1"/>
    <col min="11771" max="11771" width="16.42578125" style="20" customWidth="1"/>
    <col min="11772" max="11772" width="9.5703125" style="20" customWidth="1"/>
    <col min="11773" max="12021" width="9.140625" style="20"/>
    <col min="12022" max="12022" width="9.28515625" style="20" customWidth="1"/>
    <col min="12023" max="12023" width="17.140625" style="20" customWidth="1"/>
    <col min="12024" max="12024" width="1.7109375" style="20" customWidth="1"/>
    <col min="12025" max="12025" width="7.42578125" style="20" customWidth="1"/>
    <col min="12026" max="12026" width="4.7109375" style="20" customWidth="1"/>
    <col min="12027" max="12027" width="16.42578125" style="20" customWidth="1"/>
    <col min="12028" max="12028" width="9.5703125" style="20" customWidth="1"/>
    <col min="12029" max="12277" width="9.140625" style="20"/>
    <col min="12278" max="12278" width="9.28515625" style="20" customWidth="1"/>
    <col min="12279" max="12279" width="17.140625" style="20" customWidth="1"/>
    <col min="12280" max="12280" width="1.7109375" style="20" customWidth="1"/>
    <col min="12281" max="12281" width="7.42578125" style="20" customWidth="1"/>
    <col min="12282" max="12282" width="4.7109375" style="20" customWidth="1"/>
    <col min="12283" max="12283" width="16.42578125" style="20" customWidth="1"/>
    <col min="12284" max="12284" width="9.5703125" style="20" customWidth="1"/>
    <col min="12285" max="12533" width="9.140625" style="20"/>
    <col min="12534" max="12534" width="9.28515625" style="20" customWidth="1"/>
    <col min="12535" max="12535" width="17.140625" style="20" customWidth="1"/>
    <col min="12536" max="12536" width="1.7109375" style="20" customWidth="1"/>
    <col min="12537" max="12537" width="7.42578125" style="20" customWidth="1"/>
    <col min="12538" max="12538" width="4.7109375" style="20" customWidth="1"/>
    <col min="12539" max="12539" width="16.42578125" style="20" customWidth="1"/>
    <col min="12540" max="12540" width="9.5703125" style="20" customWidth="1"/>
    <col min="12541" max="12789" width="9.140625" style="20"/>
    <col min="12790" max="12790" width="9.28515625" style="20" customWidth="1"/>
    <col min="12791" max="12791" width="17.140625" style="20" customWidth="1"/>
    <col min="12792" max="12792" width="1.7109375" style="20" customWidth="1"/>
    <col min="12793" max="12793" width="7.42578125" style="20" customWidth="1"/>
    <col min="12794" max="12794" width="4.7109375" style="20" customWidth="1"/>
    <col min="12795" max="12795" width="16.42578125" style="20" customWidth="1"/>
    <col min="12796" max="12796" width="9.5703125" style="20" customWidth="1"/>
    <col min="12797" max="13045" width="9.140625" style="20"/>
    <col min="13046" max="13046" width="9.28515625" style="20" customWidth="1"/>
    <col min="13047" max="13047" width="17.140625" style="20" customWidth="1"/>
    <col min="13048" max="13048" width="1.7109375" style="20" customWidth="1"/>
    <col min="13049" max="13049" width="7.42578125" style="20" customWidth="1"/>
    <col min="13050" max="13050" width="4.7109375" style="20" customWidth="1"/>
    <col min="13051" max="13051" width="16.42578125" style="20" customWidth="1"/>
    <col min="13052" max="13052" width="9.5703125" style="20" customWidth="1"/>
    <col min="13053" max="13301" width="9.140625" style="20"/>
    <col min="13302" max="13302" width="9.28515625" style="20" customWidth="1"/>
    <col min="13303" max="13303" width="17.140625" style="20" customWidth="1"/>
    <col min="13304" max="13304" width="1.7109375" style="20" customWidth="1"/>
    <col min="13305" max="13305" width="7.42578125" style="20" customWidth="1"/>
    <col min="13306" max="13306" width="4.7109375" style="20" customWidth="1"/>
    <col min="13307" max="13307" width="16.42578125" style="20" customWidth="1"/>
    <col min="13308" max="13308" width="9.5703125" style="20" customWidth="1"/>
    <col min="13309" max="13557" width="9.140625" style="20"/>
    <col min="13558" max="13558" width="9.28515625" style="20" customWidth="1"/>
    <col min="13559" max="13559" width="17.140625" style="20" customWidth="1"/>
    <col min="13560" max="13560" width="1.7109375" style="20" customWidth="1"/>
    <col min="13561" max="13561" width="7.42578125" style="20" customWidth="1"/>
    <col min="13562" max="13562" width="4.7109375" style="20" customWidth="1"/>
    <col min="13563" max="13563" width="16.42578125" style="20" customWidth="1"/>
    <col min="13564" max="13564" width="9.5703125" style="20" customWidth="1"/>
    <col min="13565" max="13813" width="9.140625" style="20"/>
    <col min="13814" max="13814" width="9.28515625" style="20" customWidth="1"/>
    <col min="13815" max="13815" width="17.140625" style="20" customWidth="1"/>
    <col min="13816" max="13816" width="1.7109375" style="20" customWidth="1"/>
    <col min="13817" max="13817" width="7.42578125" style="20" customWidth="1"/>
    <col min="13818" max="13818" width="4.7109375" style="20" customWidth="1"/>
    <col min="13819" max="13819" width="16.42578125" style="20" customWidth="1"/>
    <col min="13820" max="13820" width="9.5703125" style="20" customWidth="1"/>
    <col min="13821" max="14069" width="9.140625" style="20"/>
    <col min="14070" max="14070" width="9.28515625" style="20" customWidth="1"/>
    <col min="14071" max="14071" width="17.140625" style="20" customWidth="1"/>
    <col min="14072" max="14072" width="1.7109375" style="20" customWidth="1"/>
    <col min="14073" max="14073" width="7.42578125" style="20" customWidth="1"/>
    <col min="14074" max="14074" width="4.7109375" style="20" customWidth="1"/>
    <col min="14075" max="14075" width="16.42578125" style="20" customWidth="1"/>
    <col min="14076" max="14076" width="9.5703125" style="20" customWidth="1"/>
    <col min="14077" max="14325" width="9.140625" style="20"/>
    <col min="14326" max="14326" width="9.28515625" style="20" customWidth="1"/>
    <col min="14327" max="14327" width="17.140625" style="20" customWidth="1"/>
    <col min="14328" max="14328" width="1.7109375" style="20" customWidth="1"/>
    <col min="14329" max="14329" width="7.42578125" style="20" customWidth="1"/>
    <col min="14330" max="14330" width="4.7109375" style="20" customWidth="1"/>
    <col min="14331" max="14331" width="16.42578125" style="20" customWidth="1"/>
    <col min="14332" max="14332" width="9.5703125" style="20" customWidth="1"/>
    <col min="14333" max="14581" width="9.140625" style="20"/>
    <col min="14582" max="14582" width="9.28515625" style="20" customWidth="1"/>
    <col min="14583" max="14583" width="17.140625" style="20" customWidth="1"/>
    <col min="14584" max="14584" width="1.7109375" style="20" customWidth="1"/>
    <col min="14585" max="14585" width="7.42578125" style="20" customWidth="1"/>
    <col min="14586" max="14586" width="4.7109375" style="20" customWidth="1"/>
    <col min="14587" max="14587" width="16.42578125" style="20" customWidth="1"/>
    <col min="14588" max="14588" width="9.5703125" style="20" customWidth="1"/>
    <col min="14589" max="14837" width="9.140625" style="20"/>
    <col min="14838" max="14838" width="9.28515625" style="20" customWidth="1"/>
    <col min="14839" max="14839" width="17.140625" style="20" customWidth="1"/>
    <col min="14840" max="14840" width="1.7109375" style="20" customWidth="1"/>
    <col min="14841" max="14841" width="7.42578125" style="20" customWidth="1"/>
    <col min="14842" max="14842" width="4.7109375" style="20" customWidth="1"/>
    <col min="14843" max="14843" width="16.42578125" style="20" customWidth="1"/>
    <col min="14844" max="14844" width="9.5703125" style="20" customWidth="1"/>
    <col min="14845" max="15093" width="9.140625" style="20"/>
    <col min="15094" max="15094" width="9.28515625" style="20" customWidth="1"/>
    <col min="15095" max="15095" width="17.140625" style="20" customWidth="1"/>
    <col min="15096" max="15096" width="1.7109375" style="20" customWidth="1"/>
    <col min="15097" max="15097" width="7.42578125" style="20" customWidth="1"/>
    <col min="15098" max="15098" width="4.7109375" style="20" customWidth="1"/>
    <col min="15099" max="15099" width="16.42578125" style="20" customWidth="1"/>
    <col min="15100" max="15100" width="9.5703125" style="20" customWidth="1"/>
    <col min="15101" max="15349" width="9.140625" style="20"/>
    <col min="15350" max="15350" width="9.28515625" style="20" customWidth="1"/>
    <col min="15351" max="15351" width="17.140625" style="20" customWidth="1"/>
    <col min="15352" max="15352" width="1.7109375" style="20" customWidth="1"/>
    <col min="15353" max="15353" width="7.42578125" style="20" customWidth="1"/>
    <col min="15354" max="15354" width="4.7109375" style="20" customWidth="1"/>
    <col min="15355" max="15355" width="16.42578125" style="20" customWidth="1"/>
    <col min="15356" max="15356" width="9.5703125" style="20" customWidth="1"/>
    <col min="15357" max="15605" width="9.140625" style="20"/>
    <col min="15606" max="15606" width="9.28515625" style="20" customWidth="1"/>
    <col min="15607" max="15607" width="17.140625" style="20" customWidth="1"/>
    <col min="15608" max="15608" width="1.7109375" style="20" customWidth="1"/>
    <col min="15609" max="15609" width="7.42578125" style="20" customWidth="1"/>
    <col min="15610" max="15610" width="4.7109375" style="20" customWidth="1"/>
    <col min="15611" max="15611" width="16.42578125" style="20" customWidth="1"/>
    <col min="15612" max="15612" width="9.5703125" style="20" customWidth="1"/>
    <col min="15613" max="15861" width="9.140625" style="20"/>
    <col min="15862" max="15862" width="9.28515625" style="20" customWidth="1"/>
    <col min="15863" max="15863" width="17.140625" style="20" customWidth="1"/>
    <col min="15864" max="15864" width="1.7109375" style="20" customWidth="1"/>
    <col min="15865" max="15865" width="7.42578125" style="20" customWidth="1"/>
    <col min="15866" max="15866" width="4.7109375" style="20" customWidth="1"/>
    <col min="15867" max="15867" width="16.42578125" style="20" customWidth="1"/>
    <col min="15868" max="15868" width="9.5703125" style="20" customWidth="1"/>
    <col min="15869" max="16117" width="9.140625" style="20"/>
    <col min="16118" max="16118" width="9.28515625" style="20" customWidth="1"/>
    <col min="16119" max="16119" width="17.140625" style="20" customWidth="1"/>
    <col min="16120" max="16120" width="1.7109375" style="20" customWidth="1"/>
    <col min="16121" max="16121" width="7.42578125" style="20" customWidth="1"/>
    <col min="16122" max="16122" width="4.7109375" style="20" customWidth="1"/>
    <col min="16123" max="16123" width="16.42578125" style="20" customWidth="1"/>
    <col min="16124" max="16124" width="9.5703125" style="20" customWidth="1"/>
    <col min="16125" max="16384" width="9.140625" style="20"/>
  </cols>
  <sheetData>
    <row r="1" spans="1:13" x14ac:dyDescent="0.2">
      <c r="A1" s="52" t="s">
        <v>98</v>
      </c>
      <c r="B1" s="53"/>
      <c r="C1" s="53"/>
      <c r="D1" s="53"/>
      <c r="E1" s="53"/>
      <c r="F1" s="53"/>
      <c r="G1" s="54"/>
    </row>
    <row r="2" spans="1:13" ht="15" x14ac:dyDescent="0.2">
      <c r="A2" s="21"/>
      <c r="B2" s="22"/>
      <c r="C2" s="22"/>
      <c r="D2" s="22"/>
      <c r="E2" s="22"/>
      <c r="F2" s="22"/>
      <c r="G2" s="23"/>
    </row>
    <row r="3" spans="1:13" ht="15" x14ac:dyDescent="0.2">
      <c r="A3" s="21"/>
      <c r="B3" s="22"/>
      <c r="C3" s="22"/>
      <c r="D3" s="22"/>
      <c r="E3" s="22"/>
      <c r="F3" s="22"/>
      <c r="G3" s="23"/>
    </row>
    <row r="4" spans="1:13" ht="15" x14ac:dyDescent="0.2">
      <c r="A4" s="21"/>
      <c r="B4" s="22"/>
      <c r="C4" s="22"/>
      <c r="D4" s="22"/>
      <c r="E4" s="22"/>
      <c r="F4" s="22"/>
      <c r="G4" s="23"/>
    </row>
    <row r="5" spans="1:13" ht="15" x14ac:dyDescent="0.2">
      <c r="A5" s="21"/>
      <c r="B5" s="22"/>
      <c r="C5" s="22"/>
      <c r="D5" s="22"/>
      <c r="E5" s="22"/>
      <c r="F5" s="22"/>
      <c r="G5" s="23"/>
    </row>
    <row r="6" spans="1:13" ht="15" x14ac:dyDescent="0.2">
      <c r="A6" s="21"/>
      <c r="B6" s="22"/>
      <c r="C6" s="22"/>
      <c r="D6" s="22"/>
      <c r="E6" s="22"/>
      <c r="F6" s="22"/>
      <c r="G6" s="23"/>
      <c r="K6" s="24" t="s">
        <v>99</v>
      </c>
      <c r="L6" s="20">
        <f>C18/C34/F19</f>
        <v>2.1688475780984264</v>
      </c>
    </row>
    <row r="7" spans="1:13" ht="15" x14ac:dyDescent="0.2">
      <c r="A7" s="21"/>
      <c r="B7" s="22"/>
      <c r="C7" s="22"/>
      <c r="D7" s="22"/>
      <c r="E7" s="22"/>
      <c r="F7" s="22"/>
      <c r="G7" s="23"/>
      <c r="K7" s="24" t="s">
        <v>100</v>
      </c>
      <c r="L7" s="20">
        <f>(_k1*C27^_k2/C25^_k3+_k4)</f>
        <v>1.6066631292547888</v>
      </c>
    </row>
    <row r="8" spans="1:13" ht="15" x14ac:dyDescent="0.2">
      <c r="A8" s="21"/>
      <c r="B8" s="22"/>
      <c r="C8" s="22"/>
      <c r="D8" s="22"/>
      <c r="E8" s="22"/>
      <c r="F8" s="22"/>
      <c r="G8" s="23"/>
      <c r="K8" s="20" t="s">
        <v>101</v>
      </c>
      <c r="L8" s="20">
        <f>1/L7</f>
        <v>0.62240800936523977</v>
      </c>
      <c r="M8" s="20">
        <f>1/(_k1*C27^_k2/C25^_k3+_k4)</f>
        <v>0.62240800936523977</v>
      </c>
    </row>
    <row r="9" spans="1:13" ht="15" x14ac:dyDescent="0.2">
      <c r="A9" s="21"/>
      <c r="B9" s="22"/>
      <c r="C9" s="22"/>
      <c r="D9" s="22"/>
      <c r="E9" s="22"/>
      <c r="F9" s="22"/>
      <c r="G9" s="23"/>
      <c r="K9" s="20" t="s">
        <v>102</v>
      </c>
      <c r="L9" s="20">
        <f>(1/L8-_k4)/_k1</f>
        <v>6.8619452083059876E-2</v>
      </c>
    </row>
    <row r="10" spans="1:13" ht="15" x14ac:dyDescent="0.2">
      <c r="A10" s="21"/>
      <c r="B10" s="22"/>
      <c r="C10" s="22"/>
      <c r="D10" s="22"/>
      <c r="E10" s="22"/>
      <c r="F10" s="22"/>
      <c r="G10" s="23"/>
      <c r="K10" s="24" t="s">
        <v>103</v>
      </c>
      <c r="L10" s="20">
        <f>C27^_k2/C25^_k3</f>
        <v>6.8619452083059862E-2</v>
      </c>
    </row>
    <row r="11" spans="1:13" ht="15" x14ac:dyDescent="0.2">
      <c r="A11" s="21"/>
      <c r="B11" s="22"/>
      <c r="C11" s="22"/>
      <c r="D11" s="22"/>
      <c r="E11" s="22"/>
      <c r="F11" s="22"/>
      <c r="G11" s="23"/>
      <c r="K11" s="24"/>
    </row>
    <row r="12" spans="1:13" ht="15" x14ac:dyDescent="0.2">
      <c r="A12" s="25" t="s">
        <v>1</v>
      </c>
      <c r="B12" s="26"/>
      <c r="C12" s="27">
        <f>INDEX(table,$F$12,1)</f>
        <v>7.3743041891979999</v>
      </c>
      <c r="E12" s="28" t="s">
        <v>104</v>
      </c>
      <c r="F12" s="29">
        <v>1</v>
      </c>
    </row>
    <row r="13" spans="1:13" x14ac:dyDescent="0.2">
      <c r="A13" s="25" t="s">
        <v>2</v>
      </c>
      <c r="B13" s="26"/>
      <c r="C13" s="27">
        <f>INDEX(table,$F$12,2)</f>
        <v>0.4</v>
      </c>
      <c r="D13" s="30" t="s">
        <v>105</v>
      </c>
      <c r="E13" s="31" t="str">
        <f>INDEX(formulas,1,1)</f>
        <v>Van Der Meer (1988a) formula for Cubes (not Antifer), slope 2.0:1</v>
      </c>
      <c r="F13" s="32"/>
    </row>
    <row r="14" spans="1:13" x14ac:dyDescent="0.2">
      <c r="A14" s="25" t="s">
        <v>3</v>
      </c>
      <c r="B14" s="26"/>
      <c r="C14" s="27">
        <f>INDEX(table,$F$12,3)</f>
        <v>0.3</v>
      </c>
      <c r="D14" s="30" t="s">
        <v>106</v>
      </c>
      <c r="E14" s="31" t="str">
        <f>INDEX(formulas,2,1)</f>
        <v>Van Der Meer (1988a) formula for Cubes (not Antifer), slope 1.5:1</v>
      </c>
      <c r="F14" s="32"/>
    </row>
    <row r="15" spans="1:13" x14ac:dyDescent="0.2">
      <c r="A15" s="25" t="s">
        <v>4</v>
      </c>
      <c r="B15" s="26"/>
      <c r="C15" s="27">
        <f>INDEX(table,$F$12,4)</f>
        <v>1.1006424162982089</v>
      </c>
      <c r="D15" s="30" t="s">
        <v>107</v>
      </c>
      <c r="E15" s="31" t="str">
        <f>INDEX(formulas,3,1)</f>
        <v>Chegini-Aghtouman (2006) formula for Antifer Cubes, slope 2:1</v>
      </c>
      <c r="F15" s="32"/>
      <c r="K15" s="24" t="s">
        <v>108</v>
      </c>
      <c r="L15" s="20">
        <f>(F20/C31)^0.333333333</f>
        <v>3.1023597066994895</v>
      </c>
    </row>
    <row r="16" spans="1:13" x14ac:dyDescent="0.2">
      <c r="A16" s="25" t="s">
        <v>5</v>
      </c>
      <c r="B16" s="26"/>
      <c r="C16" s="27">
        <f>INDEX(table,$F$12,5)</f>
        <v>0.1</v>
      </c>
      <c r="D16" s="30" t="s">
        <v>109</v>
      </c>
      <c r="E16" s="31" t="str">
        <f>INDEX(formulas,4,1)</f>
        <v>Chegini-Aghtouman (2006) formula for Antifer Cubes, slope 1.5:1</v>
      </c>
      <c r="F16" s="32"/>
      <c r="K16" s="24" t="s">
        <v>110</v>
      </c>
      <c r="L16" s="20">
        <f>C18/C34/L15</f>
        <v>2.1688475805539151</v>
      </c>
    </row>
    <row r="17" spans="1:12" x14ac:dyDescent="0.2">
      <c r="K17" s="24" t="s">
        <v>111</v>
      </c>
      <c r="L17" s="20">
        <f>L7*C22^-_k5</f>
        <v>2.1688475780984264</v>
      </c>
    </row>
    <row r="18" spans="1:12" ht="14.25" customHeight="1" x14ac:dyDescent="0.25">
      <c r="A18" s="25" t="s">
        <v>112</v>
      </c>
      <c r="C18" s="33">
        <v>11</v>
      </c>
      <c r="E18" s="34" t="s">
        <v>113</v>
      </c>
      <c r="F18" s="35">
        <f>(_k1*C27^_k2/C25^_k3+_k4)/C29^_k5</f>
        <v>2.1688475780984264</v>
      </c>
      <c r="K18" s="24" t="s">
        <v>108</v>
      </c>
      <c r="L18" s="20">
        <f>L8*C18/C34*C22^_k5</f>
        <v>3.1023597102118665</v>
      </c>
    </row>
    <row r="19" spans="1:12" ht="14.25" customHeight="1" x14ac:dyDescent="0.25">
      <c r="A19" s="25" t="s">
        <v>114</v>
      </c>
      <c r="B19" s="25"/>
      <c r="C19" s="33">
        <v>11.9</v>
      </c>
      <c r="E19" s="34" t="s">
        <v>115</v>
      </c>
      <c r="F19" s="36">
        <f>C18/C34/F18</f>
        <v>3.1023597102118656</v>
      </c>
    </row>
    <row r="20" spans="1:12" ht="14.25" customHeight="1" x14ac:dyDescent="0.25">
      <c r="A20" s="25" t="s">
        <v>116</v>
      </c>
      <c r="C20" s="37">
        <f>9.80665*C19^2/(2*PI())</f>
        <v>221.02160585860111</v>
      </c>
      <c r="E20" s="34" t="s">
        <v>117</v>
      </c>
      <c r="F20" s="38">
        <f>F19^3*C31</f>
        <v>790.66849779749305</v>
      </c>
    </row>
    <row r="21" spans="1:12" ht="14.25" customHeight="1" x14ac:dyDescent="0.25">
      <c r="A21" s="25" t="s">
        <v>118</v>
      </c>
      <c r="C21" s="39">
        <f>2*PI()/C20</f>
        <v>2.8427923518025939E-2</v>
      </c>
      <c r="E21" s="40" t="s">
        <v>119</v>
      </c>
      <c r="F21" s="38">
        <f>IF(F12=3,C35*C18^3/2/F20,C35*C18^3/2/F20)</f>
        <v>5.101020862884428</v>
      </c>
    </row>
    <row r="22" spans="1:12" ht="14.25" customHeight="1" x14ac:dyDescent="0.25">
      <c r="A22" s="25" t="s">
        <v>120</v>
      </c>
      <c r="C22" s="39">
        <f>C18/C20</f>
        <v>4.9768890047053892E-2</v>
      </c>
      <c r="E22" s="40" t="s">
        <v>121</v>
      </c>
      <c r="F22" s="38">
        <f>2*1.1*F19</f>
        <v>6.8251913624661054</v>
      </c>
    </row>
    <row r="23" spans="1:12" ht="14.25" customHeight="1" x14ac:dyDescent="0.2">
      <c r="E23" s="40" t="s">
        <v>122</v>
      </c>
      <c r="F23" s="41">
        <v>40</v>
      </c>
      <c r="K23" s="20" t="s">
        <v>123</v>
      </c>
      <c r="L23" s="20">
        <f>C31*(L8*C18/C34)^3*C22^(3*_k5)</f>
        <v>790.6684977974935</v>
      </c>
    </row>
    <row r="24" spans="1:12" ht="14.25" customHeight="1" x14ac:dyDescent="0.25">
      <c r="A24" s="25" t="s">
        <v>124</v>
      </c>
      <c r="C24" s="33">
        <v>9.9169999999999998</v>
      </c>
      <c r="E24" s="40" t="s">
        <v>125</v>
      </c>
      <c r="F24" s="38">
        <f>100*2*1.1*(1-F23/100)/F19^2</f>
        <v>13.714804708791485</v>
      </c>
      <c r="L24" s="20">
        <f>C31*(2*PI()/9.80665)^(3*_k5)/C34^3*L8^3*C18^(3+3*_k5)/C19^(6*_k5)</f>
        <v>790.66849779749373</v>
      </c>
    </row>
    <row r="25" spans="1:12" ht="14.25" x14ac:dyDescent="0.25">
      <c r="A25" s="25" t="s">
        <v>126</v>
      </c>
      <c r="C25" s="42">
        <f>C24*3600/C19</f>
        <v>3000.1008403361343</v>
      </c>
    </row>
    <row r="26" spans="1:12" ht="15" customHeight="1" x14ac:dyDescent="0.2"/>
    <row r="27" spans="1:12" ht="15" customHeight="1" x14ac:dyDescent="0.25">
      <c r="A27" s="25" t="s">
        <v>127</v>
      </c>
      <c r="B27" s="25"/>
      <c r="C27" s="33">
        <v>0.5</v>
      </c>
    </row>
    <row r="28" spans="1:12" ht="15" customHeight="1" x14ac:dyDescent="0.2"/>
    <row r="29" spans="1:12" ht="14.25" x14ac:dyDescent="0.25">
      <c r="A29" s="25" t="s">
        <v>128</v>
      </c>
      <c r="C29" s="39">
        <f>C18/C20</f>
        <v>4.9768890047053892E-2</v>
      </c>
    </row>
    <row r="31" spans="1:12" ht="15" x14ac:dyDescent="0.25">
      <c r="A31" s="25" t="s">
        <v>129</v>
      </c>
      <c r="B31" s="25"/>
      <c r="C31" s="33">
        <v>26.48</v>
      </c>
    </row>
    <row r="32" spans="1:12" ht="18" customHeight="1" x14ac:dyDescent="0.2">
      <c r="A32" s="25"/>
      <c r="B32" s="25"/>
      <c r="C32" s="43"/>
      <c r="E32" s="44"/>
      <c r="F32" s="43"/>
    </row>
    <row r="33" spans="1:6" ht="15" x14ac:dyDescent="0.25">
      <c r="A33" s="25" t="s">
        <v>130</v>
      </c>
      <c r="B33" s="25"/>
      <c r="C33" s="33">
        <v>10.050000000000001</v>
      </c>
    </row>
    <row r="34" spans="1:6" ht="15" customHeight="1" x14ac:dyDescent="0.25">
      <c r="A34" s="25" t="s">
        <v>131</v>
      </c>
      <c r="B34" s="25"/>
      <c r="C34" s="39">
        <f>C31/C33-1</f>
        <v>1.634825870646766</v>
      </c>
      <c r="E34" s="45"/>
      <c r="F34" s="46"/>
    </row>
    <row r="35" spans="1:6" ht="15" customHeight="1" x14ac:dyDescent="0.25">
      <c r="A35" s="25" t="s">
        <v>132</v>
      </c>
      <c r="C35" s="43">
        <f>C31/C34^3</f>
        <v>6.0604305077242708</v>
      </c>
    </row>
  </sheetData>
  <mergeCells count="1">
    <mergeCell ref="A1:G1"/>
  </mergeCells>
  <printOptions horizontalCentered="1" verticalCentered="1"/>
  <pageMargins left="0.19685039370078741" right="0.19685039370078741" top="0.19685039370078741" bottom="0.19685039370078741" header="0.59055118110236227" footer="0.51181102362204722"/>
  <pageSetup paperSize="8" scale="11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21"/>
  <sheetViews>
    <sheetView showGridLines="0" workbookViewId="0"/>
  </sheetViews>
  <sheetFormatPr defaultRowHeight="15" x14ac:dyDescent="0.25"/>
  <cols>
    <col min="1" max="1" width="45" customWidth="1"/>
    <col min="2" max="2" width="12" customWidth="1"/>
    <col min="3" max="6" width="10" customWidth="1"/>
    <col min="7" max="7" width="14" customWidth="1"/>
    <col min="8" max="8" width="12" customWidth="1"/>
    <col min="9" max="9" width="2" customWidth="1"/>
    <col min="10" max="10" width="18" customWidth="1"/>
    <col min="11" max="13" width="12" customWidth="1"/>
    <col min="14" max="15" width="0.42578125" hidden="1" customWidth="1"/>
  </cols>
  <sheetData>
    <row r="1" spans="1:15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6" t="s">
        <v>12</v>
      </c>
      <c r="O1" s="16" t="s">
        <v>13</v>
      </c>
    </row>
    <row r="2" spans="1:15" ht="24" customHeight="1" x14ac:dyDescent="0.25">
      <c r="A2" s="2" t="s">
        <v>14</v>
      </c>
      <c r="B2" s="3">
        <f>6.7*(2/1.5)^(1/3)</f>
        <v>7.3743041891979999</v>
      </c>
      <c r="C2" s="3">
        <v>0.4</v>
      </c>
      <c r="D2" s="3">
        <v>0.3</v>
      </c>
      <c r="E2" s="3">
        <f>1*(2/1.5)^(1/3)</f>
        <v>1.1006424162982089</v>
      </c>
      <c r="F2" s="3">
        <v>0.1</v>
      </c>
      <c r="G2" s="2" t="s">
        <v>15</v>
      </c>
      <c r="H2" s="4">
        <v>2</v>
      </c>
      <c r="J2" s="5" t="s">
        <v>16</v>
      </c>
      <c r="K2" s="3">
        <v>0.86799999999999999</v>
      </c>
      <c r="L2" s="3">
        <v>19.318999999999999</v>
      </c>
      <c r="M2" s="3">
        <f t="shared" ref="M2:M18" si="0">L2-K2</f>
        <v>18.451000000000001</v>
      </c>
      <c r="N2" s="17">
        <f>IF(AND(formula!$K$20&gt;$K2,formula!$K$20&lt;$L2),$M2,1E+99)</f>
        <v>9.9999999999999997E+98</v>
      </c>
      <c r="O2" s="17">
        <f>IF(AND(formula!$K$34&gt;$K2,formula!$K$34&lt;$L2),$M2,1E+99)</f>
        <v>9.9999999999999997E+98</v>
      </c>
    </row>
    <row r="3" spans="1:15" ht="24" customHeight="1" x14ac:dyDescent="0.25">
      <c r="A3" s="2" t="s">
        <v>17</v>
      </c>
      <c r="B3" s="3">
        <v>6.7</v>
      </c>
      <c r="C3" s="3">
        <v>0.4</v>
      </c>
      <c r="D3" s="3">
        <v>0.3</v>
      </c>
      <c r="E3" s="3">
        <v>1</v>
      </c>
      <c r="F3" s="3">
        <v>0.1</v>
      </c>
      <c r="G3" s="2" t="s">
        <v>15</v>
      </c>
      <c r="H3" s="4">
        <v>1.5</v>
      </c>
      <c r="J3" s="5" t="s">
        <v>18</v>
      </c>
      <c r="K3" s="3">
        <v>2.415</v>
      </c>
      <c r="L3" s="3">
        <v>51.758000000000003</v>
      </c>
      <c r="M3" s="3">
        <f t="shared" si="0"/>
        <v>49.343000000000004</v>
      </c>
      <c r="N3" s="17">
        <f>IF(AND(formula!$K$20&gt;$K3,formula!$K$20&lt;$L3),$M3,1E+99)</f>
        <v>9.9999999999999997E+98</v>
      </c>
      <c r="O3" s="17">
        <f>IF(AND(formula!$K$34&gt;$K3,formula!$K$34&lt;$L3),$M3,1E+99)</f>
        <v>9.9999999999999997E+98</v>
      </c>
    </row>
    <row r="4" spans="1:15" ht="24" customHeight="1" x14ac:dyDescent="0.25">
      <c r="A4" s="2" t="s">
        <v>19</v>
      </c>
      <c r="B4" s="3">
        <v>6.1379999999999999</v>
      </c>
      <c r="C4" s="3">
        <v>0.443</v>
      </c>
      <c r="D4" s="3">
        <v>0.27600000000000002</v>
      </c>
      <c r="E4" s="3">
        <v>1.1639999999999999</v>
      </c>
      <c r="F4" s="3">
        <v>7.0000000000000007E-2</v>
      </c>
      <c r="G4" s="2" t="s">
        <v>20</v>
      </c>
      <c r="H4" s="4">
        <v>2</v>
      </c>
      <c r="J4" s="5" t="s">
        <v>21</v>
      </c>
      <c r="K4" s="3">
        <v>6.6260000000000003</v>
      </c>
      <c r="L4" s="3">
        <v>154.548</v>
      </c>
      <c r="M4" s="3">
        <f t="shared" si="0"/>
        <v>147.922</v>
      </c>
      <c r="N4" s="17">
        <f>IF(AND(formula!$K$20&gt;$K4,formula!$K$20&lt;$L4),$M4,1E+99)</f>
        <v>9.9999999999999997E+98</v>
      </c>
      <c r="O4" s="17">
        <f>IF(AND(formula!$K$34&gt;$K4,formula!$K$34&lt;$L4),$M4,1E+99)</f>
        <v>9.9999999999999997E+98</v>
      </c>
    </row>
    <row r="5" spans="1:15" ht="24" customHeight="1" x14ac:dyDescent="0.25">
      <c r="A5" s="2" t="s">
        <v>22</v>
      </c>
      <c r="B5" s="3">
        <v>6.9509999999999996</v>
      </c>
      <c r="C5" s="3">
        <v>0.443</v>
      </c>
      <c r="D5" s="3">
        <v>0.29099999999999998</v>
      </c>
      <c r="E5" s="3">
        <v>1.0820000000000001</v>
      </c>
      <c r="F5" s="3">
        <v>8.2000000000000003E-2</v>
      </c>
      <c r="G5" s="2" t="s">
        <v>20</v>
      </c>
      <c r="H5" s="4">
        <v>1.5</v>
      </c>
      <c r="J5" s="5" t="s">
        <v>23</v>
      </c>
      <c r="K5" s="3">
        <v>19.318999999999999</v>
      </c>
      <c r="L5" s="3">
        <v>414.06299999999999</v>
      </c>
      <c r="M5" s="3">
        <f t="shared" si="0"/>
        <v>394.74399999999997</v>
      </c>
      <c r="N5" s="17">
        <f>IF(AND(formula!$K$20&gt;$K5,formula!$K$20&lt;$L5),$M5,1E+99)</f>
        <v>9.9999999999999997E+98</v>
      </c>
      <c r="O5" s="17">
        <f>IF(AND(formula!$K$34&gt;$K5,formula!$K$34&lt;$L5),$M5,1E+99)</f>
        <v>9.9999999999999997E+98</v>
      </c>
    </row>
    <row r="6" spans="1:15" ht="24" customHeight="1" x14ac:dyDescent="0.25">
      <c r="J6" s="5" t="s">
        <v>24</v>
      </c>
      <c r="K6" s="3">
        <v>2.415</v>
      </c>
      <c r="L6" s="3">
        <v>154.548</v>
      </c>
      <c r="M6" s="3">
        <f t="shared" si="0"/>
        <v>152.13300000000001</v>
      </c>
      <c r="N6" s="17">
        <f>IF(AND(formula!$K$20&gt;$K6,formula!$K$20&lt;$L6),$M6,1E+99)</f>
        <v>9.9999999999999997E+98</v>
      </c>
      <c r="O6" s="17">
        <f>IF(AND(formula!$K$34&gt;$K6,formula!$K$34&lt;$L6),$M6,1E+99)</f>
        <v>9.9999999999999997E+98</v>
      </c>
    </row>
    <row r="7" spans="1:15" ht="24" customHeight="1" x14ac:dyDescent="0.25">
      <c r="J7" s="5" t="s">
        <v>25</v>
      </c>
      <c r="K7" s="3">
        <v>19.318999999999999</v>
      </c>
      <c r="L7" s="3">
        <v>154.548</v>
      </c>
      <c r="M7" s="3">
        <f t="shared" si="0"/>
        <v>135.22900000000001</v>
      </c>
      <c r="N7" s="17">
        <f>IF(AND(formula!$K$20&gt;$K7,formula!$K$20&lt;$L7),$M7,1E+99)</f>
        <v>9.9999999999999997E+98</v>
      </c>
      <c r="O7" s="17">
        <f>IF(AND(formula!$K$34&gt;$K7,formula!$K$34&lt;$L7),$M7,1E+99)</f>
        <v>9.9999999999999997E+98</v>
      </c>
    </row>
    <row r="8" spans="1:15" ht="24" customHeight="1" x14ac:dyDescent="0.25">
      <c r="J8" s="5" t="s">
        <v>26</v>
      </c>
      <c r="K8" s="3">
        <v>5</v>
      </c>
      <c r="L8" s="3">
        <v>40</v>
      </c>
      <c r="M8" s="3">
        <f t="shared" si="0"/>
        <v>35</v>
      </c>
      <c r="N8" s="17">
        <f>IF(AND(formula!$K$20&gt;$K8,formula!$K$20&lt;$L8),$M8,1E+99)</f>
        <v>9.9999999999999997E+98</v>
      </c>
      <c r="O8" s="17">
        <f>IF(AND(formula!$K$34&gt;$K8,formula!$K$34&lt;$L8),$M8,1E+99)</f>
        <v>9.9999999999999997E+98</v>
      </c>
    </row>
    <row r="9" spans="1:15" ht="24" customHeight="1" x14ac:dyDescent="0.25">
      <c r="J9" s="5" t="s">
        <v>27</v>
      </c>
      <c r="K9" s="3">
        <v>10</v>
      </c>
      <c r="L9" s="3">
        <v>60</v>
      </c>
      <c r="M9" s="3">
        <f t="shared" si="0"/>
        <v>50</v>
      </c>
      <c r="N9" s="17">
        <f>IF(AND(formula!$K$20&gt;$K9,formula!$K$20&lt;$L9),$M9,1E+99)</f>
        <v>9.9999999999999997E+98</v>
      </c>
      <c r="O9" s="17">
        <f>IF(AND(formula!$K$34&gt;$K9,formula!$K$34&lt;$L9),$M9,1E+99)</f>
        <v>9.9999999999999997E+98</v>
      </c>
    </row>
    <row r="10" spans="1:15" ht="24" customHeight="1" x14ac:dyDescent="0.25">
      <c r="J10" s="5" t="s">
        <v>28</v>
      </c>
      <c r="K10" s="3">
        <v>15</v>
      </c>
      <c r="L10" s="3">
        <v>120</v>
      </c>
      <c r="M10" s="3">
        <f t="shared" si="0"/>
        <v>105</v>
      </c>
      <c r="N10" s="17">
        <f>IF(AND(formula!$K$20&gt;$K10,formula!$K$20&lt;$L10),$M10,1E+99)</f>
        <v>9.9999999999999997E+98</v>
      </c>
      <c r="O10" s="17">
        <f>IF(AND(formula!$K$34&gt;$K10,formula!$K$34&lt;$L10),$M10,1E+99)</f>
        <v>9.9999999999999997E+98</v>
      </c>
    </row>
    <row r="11" spans="1:15" ht="24" customHeight="1" x14ac:dyDescent="0.25">
      <c r="J11" s="5" t="s">
        <v>29</v>
      </c>
      <c r="K11" s="3">
        <v>40</v>
      </c>
      <c r="L11" s="3">
        <v>200</v>
      </c>
      <c r="M11" s="3">
        <f t="shared" si="0"/>
        <v>160</v>
      </c>
      <c r="N11" s="17">
        <f>IF(AND(formula!$K$20&gt;$K11,formula!$K$20&lt;$L11),$M11,1E+99)</f>
        <v>9.9999999999999997E+98</v>
      </c>
      <c r="O11" s="17">
        <f>IF(AND(formula!$K$34&gt;$K11,formula!$K$34&lt;$L11),$M11,1E+99)</f>
        <v>9.9999999999999997E+98</v>
      </c>
    </row>
    <row r="12" spans="1:15" ht="24" customHeight="1" x14ac:dyDescent="0.25">
      <c r="J12" s="5" t="s">
        <v>30</v>
      </c>
      <c r="K12" s="3">
        <v>60</v>
      </c>
      <c r="L12" s="3">
        <v>300</v>
      </c>
      <c r="M12" s="3">
        <f t="shared" si="0"/>
        <v>240</v>
      </c>
      <c r="N12" s="17">
        <f>IF(AND(formula!$K$20&gt;$K12,formula!$K$20&lt;$L12),$M12,1E+99)</f>
        <v>9.9999999999999997E+98</v>
      </c>
      <c r="O12" s="17">
        <f>IF(AND(formula!$K$34&gt;$K12,formula!$K$34&lt;$L12),$M12,1E+99)</f>
        <v>9.9999999999999997E+98</v>
      </c>
    </row>
    <row r="13" spans="1:15" ht="24" customHeight="1" x14ac:dyDescent="0.25">
      <c r="J13" s="5" t="s">
        <v>31</v>
      </c>
      <c r="K13" s="3">
        <v>15</v>
      </c>
      <c r="L13" s="3">
        <v>300</v>
      </c>
      <c r="M13" s="3">
        <f t="shared" si="0"/>
        <v>285</v>
      </c>
      <c r="N13" s="17">
        <f>IF(AND(formula!$K$20&gt;$K13,formula!$K$20&lt;$L13),$M13,1E+99)</f>
        <v>9.9999999999999997E+98</v>
      </c>
      <c r="O13" s="17">
        <f>IF(AND(formula!$K$34&gt;$K13,formula!$K$34&lt;$L13),$M13,1E+99)</f>
        <v>9.9999999999999997E+98</v>
      </c>
    </row>
    <row r="14" spans="1:15" ht="24" customHeight="1" x14ac:dyDescent="0.25">
      <c r="J14" s="5" t="s">
        <v>32</v>
      </c>
      <c r="K14" s="3">
        <v>300</v>
      </c>
      <c r="L14" s="3">
        <v>1000</v>
      </c>
      <c r="M14" s="3">
        <f t="shared" si="0"/>
        <v>700</v>
      </c>
      <c r="N14" s="17">
        <f>IF(AND(formula!$K$20&gt;$K14,formula!$K$20&lt;$L14),$M14,1E+99)</f>
        <v>9.9999999999999997E+98</v>
      </c>
      <c r="O14" s="17">
        <f>IF(AND(formula!$K$34&gt;$K14,formula!$K$34&lt;$L14),$M14,1E+99)</f>
        <v>9.9999999999999997E+98</v>
      </c>
    </row>
    <row r="15" spans="1:15" ht="24" customHeight="1" x14ac:dyDescent="0.25">
      <c r="J15" s="5" t="s">
        <v>33</v>
      </c>
      <c r="K15" s="3">
        <v>1000</v>
      </c>
      <c r="L15" s="3">
        <v>3000</v>
      </c>
      <c r="M15" s="3">
        <f t="shared" si="0"/>
        <v>2000</v>
      </c>
      <c r="N15" s="17">
        <f>IF(AND(formula!$K$20&gt;$K15,formula!$K$20&lt;$L15),$M15,1E+99)</f>
        <v>9.9999999999999997E+98</v>
      </c>
      <c r="O15" s="17">
        <f>IF(AND(formula!$K$34&gt;$K15,formula!$K$34&lt;$L15),$M15,1E+99)</f>
        <v>9.9999999999999997E+98</v>
      </c>
    </row>
    <row r="16" spans="1:15" ht="24" customHeight="1" x14ac:dyDescent="0.25">
      <c r="J16" s="5" t="s">
        <v>34</v>
      </c>
      <c r="K16" s="3">
        <v>3000</v>
      </c>
      <c r="L16" s="3">
        <v>6000</v>
      </c>
      <c r="M16" s="3">
        <f t="shared" si="0"/>
        <v>3000</v>
      </c>
      <c r="N16" s="17">
        <f>IF(AND(formula!$K$20&gt;$K16,formula!$K$20&lt;$L16),$M16,1E+99)</f>
        <v>9.9999999999999997E+98</v>
      </c>
      <c r="O16" s="17">
        <f>IF(AND(formula!$K$34&gt;$K16,formula!$K$34&lt;$L16),$M16,1E+99)</f>
        <v>9.9999999999999997E+98</v>
      </c>
    </row>
    <row r="17" spans="10:15" ht="24" customHeight="1" x14ac:dyDescent="0.25">
      <c r="J17" s="5" t="s">
        <v>35</v>
      </c>
      <c r="K17" s="3">
        <v>6000</v>
      </c>
      <c r="L17" s="3">
        <v>10000</v>
      </c>
      <c r="M17" s="3">
        <f t="shared" si="0"/>
        <v>4000</v>
      </c>
      <c r="N17" s="17">
        <f>IF(AND(formula!$K$20&gt;$K17,formula!$K$20&lt;$L17),$M17,1E+99)</f>
        <v>4000</v>
      </c>
      <c r="O17" s="17">
        <f>IF(AND(formula!$K$34&gt;$K17,formula!$K$34&lt;$L17),$M17,1E+99)</f>
        <v>4000</v>
      </c>
    </row>
    <row r="18" spans="10:15" ht="24" customHeight="1" x14ac:dyDescent="0.25">
      <c r="J18" s="5" t="s">
        <v>36</v>
      </c>
      <c r="K18" s="3">
        <v>10000</v>
      </c>
      <c r="L18" s="3">
        <v>15000</v>
      </c>
      <c r="M18" s="3">
        <f t="shared" si="0"/>
        <v>5000</v>
      </c>
      <c r="N18" s="17">
        <f>IF(AND(formula!$K$20&gt;$K18,formula!$K$20&lt;$L18),$M18,1E+99)</f>
        <v>9.9999999999999997E+98</v>
      </c>
      <c r="O18" s="17">
        <f>IF(AND(formula!$K$34&gt;$K18,formula!$K$34&lt;$L18),$M18,1E+99)</f>
        <v>9.9999999999999997E+98</v>
      </c>
    </row>
    <row r="19" spans="10:15" ht="24" customHeight="1" x14ac:dyDescent="0.25">
      <c r="N19" s="16"/>
      <c r="O19" s="16"/>
    </row>
    <row r="20" spans="10:15" ht="24" customHeight="1" x14ac:dyDescent="0.25">
      <c r="N20" s="16">
        <f>MIN(N2:N18)</f>
        <v>4000</v>
      </c>
      <c r="O20" s="16">
        <f>MIN(O2:O18)</f>
        <v>4000</v>
      </c>
    </row>
    <row r="21" spans="10:15" ht="24" customHeight="1" x14ac:dyDescent="0.25">
      <c r="N21" s="16">
        <f>IF(N20&lt;1E+98,MATCH(N20,N2:N18,0),1)</f>
        <v>16</v>
      </c>
      <c r="O21" s="16">
        <f>IF(O20&lt;1E+98,MATCH(O20,O2:O18,0),1)</f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formula</vt:lpstr>
      <vt:lpstr>verify</vt:lpstr>
      <vt:lpstr>parameters</vt:lpstr>
      <vt:lpstr>verify!_k1</vt:lpstr>
      <vt:lpstr>_k1</vt:lpstr>
      <vt:lpstr>verify!_k2</vt:lpstr>
      <vt:lpstr>_k2</vt:lpstr>
      <vt:lpstr>verify!_k3</vt:lpstr>
      <vt:lpstr>_k3</vt:lpstr>
      <vt:lpstr>verify!_k4</vt:lpstr>
      <vt:lpstr>_k4</vt:lpstr>
      <vt:lpstr>verify!_k5</vt:lpstr>
      <vt:lpstr>_k5</vt:lpstr>
      <vt:lpstr>verify!formulas</vt:lpstr>
      <vt:lpstr>formulas</vt:lpstr>
      <vt:lpstr>verify!table</vt:lpstr>
      <vt:lpstr>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2026-03-20T20:50:23Z</cp:lastPrinted>
  <dcterms:modified xsi:type="dcterms:W3CDTF">2026-03-20T20:51:51Z</dcterms:modified>
</cp:coreProperties>
</file>